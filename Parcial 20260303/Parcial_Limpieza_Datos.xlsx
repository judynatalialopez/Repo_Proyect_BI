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INPAHU\09-Inteligencia de Negocios\"/>
    </mc:Choice>
  </mc:AlternateContent>
  <xr:revisionPtr revIDLastSave="0" documentId="13_ncr:1_{91C96642-D576-492B-BEA4-DCFF3EEFAEC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set_con_Errores" sheetId="1" r:id="rId1"/>
    <sheet name="Validaciones_Formato" sheetId="2" r:id="rId2"/>
    <sheet name="Solucion_Limpia_300" sheetId="3" r:id="rId3"/>
    <sheet name="KPIs_Calidad" sheetId="4" r:id="rId4"/>
    <sheet name="Dashboard" sheetId="5" r:id="rId5"/>
    <sheet name="Rubrica_Taller" sheetId="6" r:id="rId6"/>
  </sheets>
  <definedNames>
    <definedName name="_xlnm._FilterDatabase" localSheetId="2" hidden="1">Solucion_Limpia_300!$A$1:$I$301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3" i="3"/>
  <c r="L4" i="3"/>
  <c r="L5" i="3"/>
  <c r="K9" i="1"/>
  <c r="K10" i="1"/>
  <c r="K11" i="1"/>
  <c r="K12" i="1"/>
  <c r="K13" i="1"/>
  <c r="L3" i="1"/>
  <c r="L4" i="1"/>
  <c r="L5" i="1"/>
  <c r="L6" i="1"/>
  <c r="L7" i="1"/>
  <c r="L8" i="1"/>
  <c r="K3" i="1"/>
  <c r="K4" i="1"/>
  <c r="K5" i="1"/>
  <c r="K6" i="1"/>
  <c r="K7" i="1"/>
  <c r="K8" i="1"/>
  <c r="K2" i="1"/>
  <c r="L2" i="1" s="1"/>
  <c r="B2" i="3"/>
  <c r="L2" i="3" s="1"/>
  <c r="B3" i="4"/>
  <c r="B5" i="4"/>
  <c r="B5" i="5" s="1"/>
  <c r="B3" i="5"/>
  <c r="B2" i="4"/>
  <c r="G301" i="3"/>
  <c r="H301" i="3" s="1"/>
  <c r="I301" i="3" s="1"/>
  <c r="F301" i="3"/>
  <c r="E301" i="3"/>
  <c r="D301" i="3"/>
  <c r="C301" i="3"/>
  <c r="B301" i="3"/>
  <c r="A301" i="3"/>
  <c r="H300" i="3"/>
  <c r="I300" i="3" s="1"/>
  <c r="G300" i="3"/>
  <c r="F300" i="3"/>
  <c r="E300" i="3"/>
  <c r="D300" i="3"/>
  <c r="C300" i="3"/>
  <c r="B300" i="3"/>
  <c r="A300" i="3"/>
  <c r="G299" i="3"/>
  <c r="F299" i="3"/>
  <c r="H299" i="3" s="1"/>
  <c r="I299" i="3" s="1"/>
  <c r="E299" i="3"/>
  <c r="D299" i="3"/>
  <c r="C299" i="3"/>
  <c r="B299" i="3"/>
  <c r="A299" i="3"/>
  <c r="H298" i="3"/>
  <c r="I298" i="3" s="1"/>
  <c r="G298" i="3"/>
  <c r="F298" i="3"/>
  <c r="E298" i="3"/>
  <c r="D298" i="3"/>
  <c r="C298" i="3"/>
  <c r="B298" i="3"/>
  <c r="A298" i="3"/>
  <c r="G297" i="3"/>
  <c r="H297" i="3" s="1"/>
  <c r="I297" i="3" s="1"/>
  <c r="F297" i="3"/>
  <c r="E297" i="3"/>
  <c r="D297" i="3"/>
  <c r="C297" i="3"/>
  <c r="B297" i="3"/>
  <c r="A297" i="3"/>
  <c r="H296" i="3"/>
  <c r="I296" i="3" s="1"/>
  <c r="G296" i="3"/>
  <c r="F296" i="3"/>
  <c r="E296" i="3"/>
  <c r="D296" i="3"/>
  <c r="C296" i="3"/>
  <c r="B296" i="3"/>
  <c r="A296" i="3"/>
  <c r="G295" i="3"/>
  <c r="F295" i="3"/>
  <c r="H295" i="3" s="1"/>
  <c r="I295" i="3" s="1"/>
  <c r="E295" i="3"/>
  <c r="D295" i="3"/>
  <c r="C295" i="3"/>
  <c r="B295" i="3"/>
  <c r="A295" i="3"/>
  <c r="H294" i="3"/>
  <c r="I294" i="3" s="1"/>
  <c r="G294" i="3"/>
  <c r="F294" i="3"/>
  <c r="E294" i="3"/>
  <c r="D294" i="3"/>
  <c r="C294" i="3"/>
  <c r="B294" i="3"/>
  <c r="A294" i="3"/>
  <c r="G293" i="3"/>
  <c r="H293" i="3" s="1"/>
  <c r="I293" i="3" s="1"/>
  <c r="F293" i="3"/>
  <c r="E293" i="3"/>
  <c r="D293" i="3"/>
  <c r="C293" i="3"/>
  <c r="B293" i="3"/>
  <c r="A293" i="3"/>
  <c r="H292" i="3"/>
  <c r="I292" i="3" s="1"/>
  <c r="G292" i="3"/>
  <c r="F292" i="3"/>
  <c r="E292" i="3"/>
  <c r="D292" i="3"/>
  <c r="C292" i="3"/>
  <c r="B292" i="3"/>
  <c r="A292" i="3"/>
  <c r="G291" i="3"/>
  <c r="F291" i="3"/>
  <c r="H291" i="3" s="1"/>
  <c r="I291" i="3" s="1"/>
  <c r="E291" i="3"/>
  <c r="D291" i="3"/>
  <c r="C291" i="3"/>
  <c r="B291" i="3"/>
  <c r="A291" i="3"/>
  <c r="H290" i="3"/>
  <c r="I290" i="3" s="1"/>
  <c r="G290" i="3"/>
  <c r="F290" i="3"/>
  <c r="E290" i="3"/>
  <c r="D290" i="3"/>
  <c r="C290" i="3"/>
  <c r="B290" i="3"/>
  <c r="A290" i="3"/>
  <c r="G289" i="3"/>
  <c r="H289" i="3" s="1"/>
  <c r="I289" i="3" s="1"/>
  <c r="F289" i="3"/>
  <c r="E289" i="3"/>
  <c r="D289" i="3"/>
  <c r="C289" i="3"/>
  <c r="B289" i="3"/>
  <c r="A289" i="3"/>
  <c r="H288" i="3"/>
  <c r="I288" i="3" s="1"/>
  <c r="G288" i="3"/>
  <c r="F288" i="3"/>
  <c r="E288" i="3"/>
  <c r="D288" i="3"/>
  <c r="C288" i="3"/>
  <c r="B288" i="3"/>
  <c r="A288" i="3"/>
  <c r="G287" i="3"/>
  <c r="F287" i="3"/>
  <c r="H287" i="3" s="1"/>
  <c r="I287" i="3" s="1"/>
  <c r="E287" i="3"/>
  <c r="D287" i="3"/>
  <c r="C287" i="3"/>
  <c r="B287" i="3"/>
  <c r="A287" i="3"/>
  <c r="H286" i="3"/>
  <c r="I286" i="3" s="1"/>
  <c r="G286" i="3"/>
  <c r="F286" i="3"/>
  <c r="E286" i="3"/>
  <c r="D286" i="3"/>
  <c r="C286" i="3"/>
  <c r="B286" i="3"/>
  <c r="A286" i="3"/>
  <c r="G285" i="3"/>
  <c r="H285" i="3" s="1"/>
  <c r="I285" i="3" s="1"/>
  <c r="F285" i="3"/>
  <c r="E285" i="3"/>
  <c r="D285" i="3"/>
  <c r="C285" i="3"/>
  <c r="B285" i="3"/>
  <c r="A285" i="3"/>
  <c r="H284" i="3"/>
  <c r="I284" i="3" s="1"/>
  <c r="G284" i="3"/>
  <c r="F284" i="3"/>
  <c r="E284" i="3"/>
  <c r="D284" i="3"/>
  <c r="C284" i="3"/>
  <c r="B284" i="3"/>
  <c r="A284" i="3"/>
  <c r="G283" i="3"/>
  <c r="F283" i="3"/>
  <c r="H283" i="3" s="1"/>
  <c r="I283" i="3" s="1"/>
  <c r="E283" i="3"/>
  <c r="D283" i="3"/>
  <c r="C283" i="3"/>
  <c r="B283" i="3"/>
  <c r="A283" i="3"/>
  <c r="H282" i="3"/>
  <c r="I282" i="3" s="1"/>
  <c r="G282" i="3"/>
  <c r="F282" i="3"/>
  <c r="E282" i="3"/>
  <c r="D282" i="3"/>
  <c r="C282" i="3"/>
  <c r="B282" i="3"/>
  <c r="A282" i="3"/>
  <c r="G281" i="3"/>
  <c r="H281" i="3" s="1"/>
  <c r="I281" i="3" s="1"/>
  <c r="F281" i="3"/>
  <c r="E281" i="3"/>
  <c r="D281" i="3"/>
  <c r="C281" i="3"/>
  <c r="B281" i="3"/>
  <c r="A281" i="3"/>
  <c r="H280" i="3"/>
  <c r="I280" i="3" s="1"/>
  <c r="G280" i="3"/>
  <c r="F280" i="3"/>
  <c r="E280" i="3"/>
  <c r="D280" i="3"/>
  <c r="C280" i="3"/>
  <c r="B280" i="3"/>
  <c r="A280" i="3"/>
  <c r="G279" i="3"/>
  <c r="F279" i="3"/>
  <c r="H279" i="3" s="1"/>
  <c r="I279" i="3" s="1"/>
  <c r="E279" i="3"/>
  <c r="D279" i="3"/>
  <c r="C279" i="3"/>
  <c r="B279" i="3"/>
  <c r="A279" i="3"/>
  <c r="H278" i="3"/>
  <c r="I278" i="3" s="1"/>
  <c r="G278" i="3"/>
  <c r="F278" i="3"/>
  <c r="E278" i="3"/>
  <c r="D278" i="3"/>
  <c r="C278" i="3"/>
  <c r="B278" i="3"/>
  <c r="A278" i="3"/>
  <c r="G277" i="3"/>
  <c r="H277" i="3" s="1"/>
  <c r="I277" i="3" s="1"/>
  <c r="F277" i="3"/>
  <c r="E277" i="3"/>
  <c r="D277" i="3"/>
  <c r="C277" i="3"/>
  <c r="B277" i="3"/>
  <c r="A277" i="3"/>
  <c r="H276" i="3"/>
  <c r="I276" i="3" s="1"/>
  <c r="G276" i="3"/>
  <c r="F276" i="3"/>
  <c r="E276" i="3"/>
  <c r="D276" i="3"/>
  <c r="C276" i="3"/>
  <c r="B276" i="3"/>
  <c r="A276" i="3"/>
  <c r="G275" i="3"/>
  <c r="F275" i="3"/>
  <c r="H275" i="3" s="1"/>
  <c r="I275" i="3" s="1"/>
  <c r="E275" i="3"/>
  <c r="D275" i="3"/>
  <c r="C275" i="3"/>
  <c r="B275" i="3"/>
  <c r="A275" i="3"/>
  <c r="H274" i="3"/>
  <c r="I274" i="3" s="1"/>
  <c r="G274" i="3"/>
  <c r="F274" i="3"/>
  <c r="E274" i="3"/>
  <c r="D274" i="3"/>
  <c r="C274" i="3"/>
  <c r="B274" i="3"/>
  <c r="A274" i="3"/>
  <c r="G273" i="3"/>
  <c r="H273" i="3" s="1"/>
  <c r="I273" i="3" s="1"/>
  <c r="F273" i="3"/>
  <c r="E273" i="3"/>
  <c r="D273" i="3"/>
  <c r="C273" i="3"/>
  <c r="B273" i="3"/>
  <c r="A273" i="3"/>
  <c r="H272" i="3"/>
  <c r="I272" i="3" s="1"/>
  <c r="G272" i="3"/>
  <c r="F272" i="3"/>
  <c r="E272" i="3"/>
  <c r="D272" i="3"/>
  <c r="C272" i="3"/>
  <c r="B272" i="3"/>
  <c r="A272" i="3"/>
  <c r="G271" i="3"/>
  <c r="F271" i="3"/>
  <c r="H271" i="3" s="1"/>
  <c r="I271" i="3" s="1"/>
  <c r="E271" i="3"/>
  <c r="D271" i="3"/>
  <c r="C271" i="3"/>
  <c r="B271" i="3"/>
  <c r="A271" i="3"/>
  <c r="H270" i="3"/>
  <c r="I270" i="3" s="1"/>
  <c r="G270" i="3"/>
  <c r="F270" i="3"/>
  <c r="E270" i="3"/>
  <c r="D270" i="3"/>
  <c r="C270" i="3"/>
  <c r="B270" i="3"/>
  <c r="A270" i="3"/>
  <c r="G269" i="3"/>
  <c r="H269" i="3" s="1"/>
  <c r="I269" i="3" s="1"/>
  <c r="F269" i="3"/>
  <c r="E269" i="3"/>
  <c r="D269" i="3"/>
  <c r="C269" i="3"/>
  <c r="B269" i="3"/>
  <c r="A269" i="3"/>
  <c r="H268" i="3"/>
  <c r="I268" i="3" s="1"/>
  <c r="G268" i="3"/>
  <c r="F268" i="3"/>
  <c r="E268" i="3"/>
  <c r="D268" i="3"/>
  <c r="C268" i="3"/>
  <c r="B268" i="3"/>
  <c r="A268" i="3"/>
  <c r="G267" i="3"/>
  <c r="F267" i="3"/>
  <c r="H267" i="3" s="1"/>
  <c r="I267" i="3" s="1"/>
  <c r="E267" i="3"/>
  <c r="D267" i="3"/>
  <c r="C267" i="3"/>
  <c r="B267" i="3"/>
  <c r="A267" i="3"/>
  <c r="H266" i="3"/>
  <c r="I266" i="3" s="1"/>
  <c r="G266" i="3"/>
  <c r="F266" i="3"/>
  <c r="E266" i="3"/>
  <c r="D266" i="3"/>
  <c r="C266" i="3"/>
  <c r="B266" i="3"/>
  <c r="A266" i="3"/>
  <c r="G265" i="3"/>
  <c r="H265" i="3" s="1"/>
  <c r="I265" i="3" s="1"/>
  <c r="F265" i="3"/>
  <c r="E265" i="3"/>
  <c r="D265" i="3"/>
  <c r="C265" i="3"/>
  <c r="B265" i="3"/>
  <c r="A265" i="3"/>
  <c r="H264" i="3"/>
  <c r="I264" i="3" s="1"/>
  <c r="G264" i="3"/>
  <c r="F264" i="3"/>
  <c r="E264" i="3"/>
  <c r="D264" i="3"/>
  <c r="C264" i="3"/>
  <c r="B264" i="3"/>
  <c r="A264" i="3"/>
  <c r="G263" i="3"/>
  <c r="F263" i="3"/>
  <c r="H263" i="3" s="1"/>
  <c r="I263" i="3" s="1"/>
  <c r="E263" i="3"/>
  <c r="D263" i="3"/>
  <c r="C263" i="3"/>
  <c r="B263" i="3"/>
  <c r="A263" i="3"/>
  <c r="H262" i="3"/>
  <c r="I262" i="3" s="1"/>
  <c r="G262" i="3"/>
  <c r="F262" i="3"/>
  <c r="E262" i="3"/>
  <c r="D262" i="3"/>
  <c r="C262" i="3"/>
  <c r="B262" i="3"/>
  <c r="A262" i="3"/>
  <c r="G261" i="3"/>
  <c r="H261" i="3" s="1"/>
  <c r="I261" i="3" s="1"/>
  <c r="F261" i="3"/>
  <c r="E261" i="3"/>
  <c r="D261" i="3"/>
  <c r="C261" i="3"/>
  <c r="B261" i="3"/>
  <c r="A261" i="3"/>
  <c r="H260" i="3"/>
  <c r="I260" i="3" s="1"/>
  <c r="G260" i="3"/>
  <c r="F260" i="3"/>
  <c r="E260" i="3"/>
  <c r="D260" i="3"/>
  <c r="C260" i="3"/>
  <c r="B260" i="3"/>
  <c r="A260" i="3"/>
  <c r="G259" i="3"/>
  <c r="F259" i="3"/>
  <c r="H259" i="3" s="1"/>
  <c r="I259" i="3" s="1"/>
  <c r="E259" i="3"/>
  <c r="D259" i="3"/>
  <c r="C259" i="3"/>
  <c r="B259" i="3"/>
  <c r="A259" i="3"/>
  <c r="H258" i="3"/>
  <c r="I258" i="3" s="1"/>
  <c r="G258" i="3"/>
  <c r="F258" i="3"/>
  <c r="E258" i="3"/>
  <c r="D258" i="3"/>
  <c r="C258" i="3"/>
  <c r="B258" i="3"/>
  <c r="A258" i="3"/>
  <c r="G257" i="3"/>
  <c r="H257" i="3" s="1"/>
  <c r="I257" i="3" s="1"/>
  <c r="F257" i="3"/>
  <c r="E257" i="3"/>
  <c r="D257" i="3"/>
  <c r="C257" i="3"/>
  <c r="B257" i="3"/>
  <c r="A257" i="3"/>
  <c r="H256" i="3"/>
  <c r="I256" i="3" s="1"/>
  <c r="G256" i="3"/>
  <c r="F256" i="3"/>
  <c r="E256" i="3"/>
  <c r="D256" i="3"/>
  <c r="C256" i="3"/>
  <c r="B256" i="3"/>
  <c r="A256" i="3"/>
  <c r="G255" i="3"/>
  <c r="F255" i="3"/>
  <c r="H255" i="3" s="1"/>
  <c r="I255" i="3" s="1"/>
  <c r="E255" i="3"/>
  <c r="D255" i="3"/>
  <c r="C255" i="3"/>
  <c r="B255" i="3"/>
  <c r="A255" i="3"/>
  <c r="H254" i="3"/>
  <c r="I254" i="3" s="1"/>
  <c r="G254" i="3"/>
  <c r="F254" i="3"/>
  <c r="E254" i="3"/>
  <c r="D254" i="3"/>
  <c r="C254" i="3"/>
  <c r="B254" i="3"/>
  <c r="A254" i="3"/>
  <c r="G253" i="3"/>
  <c r="H253" i="3" s="1"/>
  <c r="I253" i="3" s="1"/>
  <c r="F253" i="3"/>
  <c r="E253" i="3"/>
  <c r="D253" i="3"/>
  <c r="C253" i="3"/>
  <c r="B253" i="3"/>
  <c r="A253" i="3"/>
  <c r="H252" i="3"/>
  <c r="I252" i="3" s="1"/>
  <c r="G252" i="3"/>
  <c r="F252" i="3"/>
  <c r="E252" i="3"/>
  <c r="D252" i="3"/>
  <c r="C252" i="3"/>
  <c r="B252" i="3"/>
  <c r="A252" i="3"/>
  <c r="G251" i="3"/>
  <c r="F251" i="3"/>
  <c r="H251" i="3" s="1"/>
  <c r="I251" i="3" s="1"/>
  <c r="E251" i="3"/>
  <c r="D251" i="3"/>
  <c r="C251" i="3"/>
  <c r="B251" i="3"/>
  <c r="A251" i="3"/>
  <c r="H250" i="3"/>
  <c r="I250" i="3" s="1"/>
  <c r="G250" i="3"/>
  <c r="F250" i="3"/>
  <c r="E250" i="3"/>
  <c r="D250" i="3"/>
  <c r="C250" i="3"/>
  <c r="B250" i="3"/>
  <c r="A250" i="3"/>
  <c r="G249" i="3"/>
  <c r="H249" i="3" s="1"/>
  <c r="I249" i="3" s="1"/>
  <c r="F249" i="3"/>
  <c r="E249" i="3"/>
  <c r="D249" i="3"/>
  <c r="C249" i="3"/>
  <c r="B249" i="3"/>
  <c r="A249" i="3"/>
  <c r="H248" i="3"/>
  <c r="I248" i="3" s="1"/>
  <c r="G248" i="3"/>
  <c r="F248" i="3"/>
  <c r="E248" i="3"/>
  <c r="D248" i="3"/>
  <c r="C248" i="3"/>
  <c r="B248" i="3"/>
  <c r="A248" i="3"/>
  <c r="G247" i="3"/>
  <c r="F247" i="3"/>
  <c r="H247" i="3" s="1"/>
  <c r="I247" i="3" s="1"/>
  <c r="E247" i="3"/>
  <c r="D247" i="3"/>
  <c r="C247" i="3"/>
  <c r="B247" i="3"/>
  <c r="A247" i="3"/>
  <c r="H246" i="3"/>
  <c r="I246" i="3" s="1"/>
  <c r="G246" i="3"/>
  <c r="F246" i="3"/>
  <c r="E246" i="3"/>
  <c r="D246" i="3"/>
  <c r="C246" i="3"/>
  <c r="B246" i="3"/>
  <c r="A246" i="3"/>
  <c r="G245" i="3"/>
  <c r="H245" i="3" s="1"/>
  <c r="I245" i="3" s="1"/>
  <c r="F245" i="3"/>
  <c r="E245" i="3"/>
  <c r="D245" i="3"/>
  <c r="C245" i="3"/>
  <c r="B245" i="3"/>
  <c r="A245" i="3"/>
  <c r="H244" i="3"/>
  <c r="I244" i="3" s="1"/>
  <c r="G244" i="3"/>
  <c r="F244" i="3"/>
  <c r="E244" i="3"/>
  <c r="D244" i="3"/>
  <c r="C244" i="3"/>
  <c r="B244" i="3"/>
  <c r="A244" i="3"/>
  <c r="G243" i="3"/>
  <c r="F243" i="3"/>
  <c r="H243" i="3" s="1"/>
  <c r="I243" i="3" s="1"/>
  <c r="E243" i="3"/>
  <c r="D243" i="3"/>
  <c r="C243" i="3"/>
  <c r="B243" i="3"/>
  <c r="A243" i="3"/>
  <c r="H242" i="3"/>
  <c r="I242" i="3" s="1"/>
  <c r="G242" i="3"/>
  <c r="F242" i="3"/>
  <c r="E242" i="3"/>
  <c r="D242" i="3"/>
  <c r="C242" i="3"/>
  <c r="B242" i="3"/>
  <c r="A242" i="3"/>
  <c r="G241" i="3"/>
  <c r="H241" i="3" s="1"/>
  <c r="I241" i="3" s="1"/>
  <c r="F241" i="3"/>
  <c r="E241" i="3"/>
  <c r="D241" i="3"/>
  <c r="C241" i="3"/>
  <c r="B241" i="3"/>
  <c r="A241" i="3"/>
  <c r="H240" i="3"/>
  <c r="I240" i="3" s="1"/>
  <c r="G240" i="3"/>
  <c r="F240" i="3"/>
  <c r="E240" i="3"/>
  <c r="D240" i="3"/>
  <c r="C240" i="3"/>
  <c r="B240" i="3"/>
  <c r="A240" i="3"/>
  <c r="G239" i="3"/>
  <c r="F239" i="3"/>
  <c r="H239" i="3" s="1"/>
  <c r="I239" i="3" s="1"/>
  <c r="E239" i="3"/>
  <c r="D239" i="3"/>
  <c r="C239" i="3"/>
  <c r="B239" i="3"/>
  <c r="A239" i="3"/>
  <c r="H238" i="3"/>
  <c r="I238" i="3" s="1"/>
  <c r="G238" i="3"/>
  <c r="F238" i="3"/>
  <c r="E238" i="3"/>
  <c r="D238" i="3"/>
  <c r="C238" i="3"/>
  <c r="B238" i="3"/>
  <c r="A238" i="3"/>
  <c r="G237" i="3"/>
  <c r="H237" i="3" s="1"/>
  <c r="I237" i="3" s="1"/>
  <c r="F237" i="3"/>
  <c r="E237" i="3"/>
  <c r="D237" i="3"/>
  <c r="C237" i="3"/>
  <c r="B237" i="3"/>
  <c r="A237" i="3"/>
  <c r="H236" i="3"/>
  <c r="I236" i="3" s="1"/>
  <c r="G236" i="3"/>
  <c r="F236" i="3"/>
  <c r="E236" i="3"/>
  <c r="D236" i="3"/>
  <c r="C236" i="3"/>
  <c r="B236" i="3"/>
  <c r="A236" i="3"/>
  <c r="G235" i="3"/>
  <c r="F235" i="3"/>
  <c r="H235" i="3" s="1"/>
  <c r="I235" i="3" s="1"/>
  <c r="E235" i="3"/>
  <c r="D235" i="3"/>
  <c r="C235" i="3"/>
  <c r="B235" i="3"/>
  <c r="A235" i="3"/>
  <c r="H234" i="3"/>
  <c r="I234" i="3" s="1"/>
  <c r="G234" i="3"/>
  <c r="F234" i="3"/>
  <c r="E234" i="3"/>
  <c r="D234" i="3"/>
  <c r="C234" i="3"/>
  <c r="B234" i="3"/>
  <c r="A234" i="3"/>
  <c r="G233" i="3"/>
  <c r="H233" i="3" s="1"/>
  <c r="I233" i="3" s="1"/>
  <c r="F233" i="3"/>
  <c r="E233" i="3"/>
  <c r="D233" i="3"/>
  <c r="C233" i="3"/>
  <c r="B233" i="3"/>
  <c r="A233" i="3"/>
  <c r="H232" i="3"/>
  <c r="I232" i="3" s="1"/>
  <c r="G232" i="3"/>
  <c r="F232" i="3"/>
  <c r="E232" i="3"/>
  <c r="D232" i="3"/>
  <c r="C232" i="3"/>
  <c r="B232" i="3"/>
  <c r="A232" i="3"/>
  <c r="G231" i="3"/>
  <c r="F231" i="3"/>
  <c r="H231" i="3" s="1"/>
  <c r="I231" i="3" s="1"/>
  <c r="E231" i="3"/>
  <c r="D231" i="3"/>
  <c r="C231" i="3"/>
  <c r="B231" i="3"/>
  <c r="A231" i="3"/>
  <c r="H230" i="3"/>
  <c r="I230" i="3" s="1"/>
  <c r="G230" i="3"/>
  <c r="F230" i="3"/>
  <c r="E230" i="3"/>
  <c r="D230" i="3"/>
  <c r="C230" i="3"/>
  <c r="B230" i="3"/>
  <c r="A230" i="3"/>
  <c r="G229" i="3"/>
  <c r="H229" i="3" s="1"/>
  <c r="I229" i="3" s="1"/>
  <c r="F229" i="3"/>
  <c r="E229" i="3"/>
  <c r="D229" i="3"/>
  <c r="C229" i="3"/>
  <c r="B229" i="3"/>
  <c r="A229" i="3"/>
  <c r="H228" i="3"/>
  <c r="I228" i="3" s="1"/>
  <c r="G228" i="3"/>
  <c r="F228" i="3"/>
  <c r="E228" i="3"/>
  <c r="D228" i="3"/>
  <c r="C228" i="3"/>
  <c r="B228" i="3"/>
  <c r="A228" i="3"/>
  <c r="G227" i="3"/>
  <c r="F227" i="3"/>
  <c r="H227" i="3" s="1"/>
  <c r="I227" i="3" s="1"/>
  <c r="E227" i="3"/>
  <c r="D227" i="3"/>
  <c r="C227" i="3"/>
  <c r="B227" i="3"/>
  <c r="A227" i="3"/>
  <c r="H226" i="3"/>
  <c r="I226" i="3" s="1"/>
  <c r="G226" i="3"/>
  <c r="F226" i="3"/>
  <c r="E226" i="3"/>
  <c r="D226" i="3"/>
  <c r="C226" i="3"/>
  <c r="B226" i="3"/>
  <c r="A226" i="3"/>
  <c r="G225" i="3"/>
  <c r="H225" i="3" s="1"/>
  <c r="I225" i="3" s="1"/>
  <c r="F225" i="3"/>
  <c r="E225" i="3"/>
  <c r="D225" i="3"/>
  <c r="C225" i="3"/>
  <c r="B225" i="3"/>
  <c r="A225" i="3"/>
  <c r="H224" i="3"/>
  <c r="I224" i="3" s="1"/>
  <c r="G224" i="3"/>
  <c r="F224" i="3"/>
  <c r="E224" i="3"/>
  <c r="D224" i="3"/>
  <c r="C224" i="3"/>
  <c r="B224" i="3"/>
  <c r="A224" i="3"/>
  <c r="G223" i="3"/>
  <c r="F223" i="3"/>
  <c r="H223" i="3" s="1"/>
  <c r="I223" i="3" s="1"/>
  <c r="E223" i="3"/>
  <c r="D223" i="3"/>
  <c r="C223" i="3"/>
  <c r="B223" i="3"/>
  <c r="A223" i="3"/>
  <c r="H222" i="3"/>
  <c r="I222" i="3" s="1"/>
  <c r="G222" i="3"/>
  <c r="F222" i="3"/>
  <c r="E222" i="3"/>
  <c r="D222" i="3"/>
  <c r="C222" i="3"/>
  <c r="B222" i="3"/>
  <c r="A222" i="3"/>
  <c r="G221" i="3"/>
  <c r="H221" i="3" s="1"/>
  <c r="I221" i="3" s="1"/>
  <c r="F221" i="3"/>
  <c r="E221" i="3"/>
  <c r="D221" i="3"/>
  <c r="C221" i="3"/>
  <c r="B221" i="3"/>
  <c r="A221" i="3"/>
  <c r="H220" i="3"/>
  <c r="I220" i="3" s="1"/>
  <c r="G220" i="3"/>
  <c r="F220" i="3"/>
  <c r="E220" i="3"/>
  <c r="D220" i="3"/>
  <c r="C220" i="3"/>
  <c r="B220" i="3"/>
  <c r="A220" i="3"/>
  <c r="G219" i="3"/>
  <c r="F219" i="3"/>
  <c r="H219" i="3" s="1"/>
  <c r="I219" i="3" s="1"/>
  <c r="E219" i="3"/>
  <c r="D219" i="3"/>
  <c r="C219" i="3"/>
  <c r="B219" i="3"/>
  <c r="A219" i="3"/>
  <c r="H218" i="3"/>
  <c r="I218" i="3" s="1"/>
  <c r="G218" i="3"/>
  <c r="F218" i="3"/>
  <c r="E218" i="3"/>
  <c r="D218" i="3"/>
  <c r="C218" i="3"/>
  <c r="B218" i="3"/>
  <c r="A218" i="3"/>
  <c r="G217" i="3"/>
  <c r="H217" i="3" s="1"/>
  <c r="I217" i="3" s="1"/>
  <c r="F217" i="3"/>
  <c r="E217" i="3"/>
  <c r="D217" i="3"/>
  <c r="C217" i="3"/>
  <c r="B217" i="3"/>
  <c r="A217" i="3"/>
  <c r="H216" i="3"/>
  <c r="I216" i="3" s="1"/>
  <c r="G216" i="3"/>
  <c r="F216" i="3"/>
  <c r="E216" i="3"/>
  <c r="D216" i="3"/>
  <c r="C216" i="3"/>
  <c r="B216" i="3"/>
  <c r="A216" i="3"/>
  <c r="G215" i="3"/>
  <c r="F215" i="3"/>
  <c r="H215" i="3" s="1"/>
  <c r="I215" i="3" s="1"/>
  <c r="E215" i="3"/>
  <c r="D215" i="3"/>
  <c r="C215" i="3"/>
  <c r="B215" i="3"/>
  <c r="A215" i="3"/>
  <c r="H214" i="3"/>
  <c r="I214" i="3" s="1"/>
  <c r="G214" i="3"/>
  <c r="F214" i="3"/>
  <c r="E214" i="3"/>
  <c r="D214" i="3"/>
  <c r="C214" i="3"/>
  <c r="B214" i="3"/>
  <c r="A214" i="3"/>
  <c r="G213" i="3"/>
  <c r="H213" i="3" s="1"/>
  <c r="I213" i="3" s="1"/>
  <c r="F213" i="3"/>
  <c r="E213" i="3"/>
  <c r="D213" i="3"/>
  <c r="C213" i="3"/>
  <c r="B213" i="3"/>
  <c r="A213" i="3"/>
  <c r="H212" i="3"/>
  <c r="I212" i="3" s="1"/>
  <c r="G212" i="3"/>
  <c r="F212" i="3"/>
  <c r="E212" i="3"/>
  <c r="D212" i="3"/>
  <c r="C212" i="3"/>
  <c r="B212" i="3"/>
  <c r="A212" i="3"/>
  <c r="G211" i="3"/>
  <c r="F211" i="3"/>
  <c r="H211" i="3" s="1"/>
  <c r="I211" i="3" s="1"/>
  <c r="E211" i="3"/>
  <c r="D211" i="3"/>
  <c r="C211" i="3"/>
  <c r="B211" i="3"/>
  <c r="A211" i="3"/>
  <c r="H210" i="3"/>
  <c r="I210" i="3" s="1"/>
  <c r="G210" i="3"/>
  <c r="F210" i="3"/>
  <c r="E210" i="3"/>
  <c r="D210" i="3"/>
  <c r="C210" i="3"/>
  <c r="B210" i="3"/>
  <c r="A210" i="3"/>
  <c r="G209" i="3"/>
  <c r="H209" i="3" s="1"/>
  <c r="I209" i="3" s="1"/>
  <c r="F209" i="3"/>
  <c r="E209" i="3"/>
  <c r="D209" i="3"/>
  <c r="C209" i="3"/>
  <c r="B209" i="3"/>
  <c r="A209" i="3"/>
  <c r="H208" i="3"/>
  <c r="I208" i="3" s="1"/>
  <c r="G208" i="3"/>
  <c r="F208" i="3"/>
  <c r="E208" i="3"/>
  <c r="D208" i="3"/>
  <c r="C208" i="3"/>
  <c r="B208" i="3"/>
  <c r="A208" i="3"/>
  <c r="G207" i="3"/>
  <c r="F207" i="3"/>
  <c r="H207" i="3" s="1"/>
  <c r="I207" i="3" s="1"/>
  <c r="E207" i="3"/>
  <c r="D207" i="3"/>
  <c r="C207" i="3"/>
  <c r="B207" i="3"/>
  <c r="A207" i="3"/>
  <c r="H206" i="3"/>
  <c r="I206" i="3" s="1"/>
  <c r="G206" i="3"/>
  <c r="F206" i="3"/>
  <c r="E206" i="3"/>
  <c r="D206" i="3"/>
  <c r="C206" i="3"/>
  <c r="B206" i="3"/>
  <c r="A206" i="3"/>
  <c r="G205" i="3"/>
  <c r="H205" i="3" s="1"/>
  <c r="I205" i="3" s="1"/>
  <c r="F205" i="3"/>
  <c r="E205" i="3"/>
  <c r="D205" i="3"/>
  <c r="C205" i="3"/>
  <c r="B205" i="3"/>
  <c r="A205" i="3"/>
  <c r="H204" i="3"/>
  <c r="I204" i="3" s="1"/>
  <c r="G204" i="3"/>
  <c r="F204" i="3"/>
  <c r="E204" i="3"/>
  <c r="D204" i="3"/>
  <c r="C204" i="3"/>
  <c r="B204" i="3"/>
  <c r="A204" i="3"/>
  <c r="G203" i="3"/>
  <c r="F203" i="3"/>
  <c r="H203" i="3" s="1"/>
  <c r="I203" i="3" s="1"/>
  <c r="E203" i="3"/>
  <c r="D203" i="3"/>
  <c r="C203" i="3"/>
  <c r="B203" i="3"/>
  <c r="A203" i="3"/>
  <c r="H202" i="3"/>
  <c r="I202" i="3" s="1"/>
  <c r="G202" i="3"/>
  <c r="F202" i="3"/>
  <c r="E202" i="3"/>
  <c r="D202" i="3"/>
  <c r="C202" i="3"/>
  <c r="B202" i="3"/>
  <c r="A202" i="3"/>
  <c r="G201" i="3"/>
  <c r="H201" i="3" s="1"/>
  <c r="I201" i="3" s="1"/>
  <c r="F201" i="3"/>
  <c r="E201" i="3"/>
  <c r="D201" i="3"/>
  <c r="C201" i="3"/>
  <c r="B201" i="3"/>
  <c r="A201" i="3"/>
  <c r="H200" i="3"/>
  <c r="I200" i="3" s="1"/>
  <c r="G200" i="3"/>
  <c r="F200" i="3"/>
  <c r="E200" i="3"/>
  <c r="D200" i="3"/>
  <c r="C200" i="3"/>
  <c r="B200" i="3"/>
  <c r="A200" i="3"/>
  <c r="G199" i="3"/>
  <c r="F199" i="3"/>
  <c r="H199" i="3" s="1"/>
  <c r="I199" i="3" s="1"/>
  <c r="E199" i="3"/>
  <c r="D199" i="3"/>
  <c r="C199" i="3"/>
  <c r="B199" i="3"/>
  <c r="A199" i="3"/>
  <c r="H198" i="3"/>
  <c r="I198" i="3" s="1"/>
  <c r="G198" i="3"/>
  <c r="F198" i="3"/>
  <c r="E198" i="3"/>
  <c r="D198" i="3"/>
  <c r="C198" i="3"/>
  <c r="B198" i="3"/>
  <c r="A198" i="3"/>
  <c r="G197" i="3"/>
  <c r="H197" i="3" s="1"/>
  <c r="I197" i="3" s="1"/>
  <c r="F197" i="3"/>
  <c r="E197" i="3"/>
  <c r="D197" i="3"/>
  <c r="C197" i="3"/>
  <c r="B197" i="3"/>
  <c r="A197" i="3"/>
  <c r="H196" i="3"/>
  <c r="I196" i="3" s="1"/>
  <c r="G196" i="3"/>
  <c r="F196" i="3"/>
  <c r="E196" i="3"/>
  <c r="D196" i="3"/>
  <c r="C196" i="3"/>
  <c r="B196" i="3"/>
  <c r="A196" i="3"/>
  <c r="G195" i="3"/>
  <c r="F195" i="3"/>
  <c r="H195" i="3" s="1"/>
  <c r="I195" i="3" s="1"/>
  <c r="E195" i="3"/>
  <c r="D195" i="3"/>
  <c r="C195" i="3"/>
  <c r="B195" i="3"/>
  <c r="A195" i="3"/>
  <c r="H194" i="3"/>
  <c r="I194" i="3" s="1"/>
  <c r="G194" i="3"/>
  <c r="F194" i="3"/>
  <c r="E194" i="3"/>
  <c r="D194" i="3"/>
  <c r="C194" i="3"/>
  <c r="B194" i="3"/>
  <c r="A194" i="3"/>
  <c r="G193" i="3"/>
  <c r="H193" i="3" s="1"/>
  <c r="I193" i="3" s="1"/>
  <c r="F193" i="3"/>
  <c r="E193" i="3"/>
  <c r="D193" i="3"/>
  <c r="C193" i="3"/>
  <c r="B193" i="3"/>
  <c r="A193" i="3"/>
  <c r="H192" i="3"/>
  <c r="I192" i="3" s="1"/>
  <c r="G192" i="3"/>
  <c r="F192" i="3"/>
  <c r="E192" i="3"/>
  <c r="D192" i="3"/>
  <c r="C192" i="3"/>
  <c r="B192" i="3"/>
  <c r="A192" i="3"/>
  <c r="G191" i="3"/>
  <c r="F191" i="3"/>
  <c r="H191" i="3" s="1"/>
  <c r="I191" i="3" s="1"/>
  <c r="E191" i="3"/>
  <c r="D191" i="3"/>
  <c r="C191" i="3"/>
  <c r="B191" i="3"/>
  <c r="A191" i="3"/>
  <c r="H190" i="3"/>
  <c r="I190" i="3" s="1"/>
  <c r="G190" i="3"/>
  <c r="F190" i="3"/>
  <c r="E190" i="3"/>
  <c r="D190" i="3"/>
  <c r="C190" i="3"/>
  <c r="B190" i="3"/>
  <c r="A190" i="3"/>
  <c r="G189" i="3"/>
  <c r="H189" i="3" s="1"/>
  <c r="I189" i="3" s="1"/>
  <c r="F189" i="3"/>
  <c r="E189" i="3"/>
  <c r="D189" i="3"/>
  <c r="C189" i="3"/>
  <c r="B189" i="3"/>
  <c r="A189" i="3"/>
  <c r="H188" i="3"/>
  <c r="I188" i="3" s="1"/>
  <c r="G188" i="3"/>
  <c r="F188" i="3"/>
  <c r="E188" i="3"/>
  <c r="D188" i="3"/>
  <c r="C188" i="3"/>
  <c r="B188" i="3"/>
  <c r="A188" i="3"/>
  <c r="G187" i="3"/>
  <c r="F187" i="3"/>
  <c r="H187" i="3" s="1"/>
  <c r="I187" i="3" s="1"/>
  <c r="E187" i="3"/>
  <c r="D187" i="3"/>
  <c r="C187" i="3"/>
  <c r="B187" i="3"/>
  <c r="A187" i="3"/>
  <c r="H186" i="3"/>
  <c r="I186" i="3" s="1"/>
  <c r="G186" i="3"/>
  <c r="F186" i="3"/>
  <c r="E186" i="3"/>
  <c r="D186" i="3"/>
  <c r="C186" i="3"/>
  <c r="B186" i="3"/>
  <c r="A186" i="3"/>
  <c r="G185" i="3"/>
  <c r="H185" i="3" s="1"/>
  <c r="I185" i="3" s="1"/>
  <c r="F185" i="3"/>
  <c r="E185" i="3"/>
  <c r="D185" i="3"/>
  <c r="C185" i="3"/>
  <c r="B185" i="3"/>
  <c r="A185" i="3"/>
  <c r="H184" i="3"/>
  <c r="I184" i="3" s="1"/>
  <c r="G184" i="3"/>
  <c r="F184" i="3"/>
  <c r="E184" i="3"/>
  <c r="D184" i="3"/>
  <c r="C184" i="3"/>
  <c r="B184" i="3"/>
  <c r="A184" i="3"/>
  <c r="G183" i="3"/>
  <c r="F183" i="3"/>
  <c r="H183" i="3" s="1"/>
  <c r="I183" i="3" s="1"/>
  <c r="E183" i="3"/>
  <c r="D183" i="3"/>
  <c r="C183" i="3"/>
  <c r="B183" i="3"/>
  <c r="A183" i="3"/>
  <c r="H182" i="3"/>
  <c r="I182" i="3" s="1"/>
  <c r="G182" i="3"/>
  <c r="F182" i="3"/>
  <c r="E182" i="3"/>
  <c r="D182" i="3"/>
  <c r="C182" i="3"/>
  <c r="B182" i="3"/>
  <c r="A182" i="3"/>
  <c r="G181" i="3"/>
  <c r="H181" i="3" s="1"/>
  <c r="I181" i="3" s="1"/>
  <c r="F181" i="3"/>
  <c r="E181" i="3"/>
  <c r="D181" i="3"/>
  <c r="C181" i="3"/>
  <c r="B181" i="3"/>
  <c r="A181" i="3"/>
  <c r="H180" i="3"/>
  <c r="I180" i="3" s="1"/>
  <c r="G180" i="3"/>
  <c r="F180" i="3"/>
  <c r="E180" i="3"/>
  <c r="D180" i="3"/>
  <c r="C180" i="3"/>
  <c r="B180" i="3"/>
  <c r="A180" i="3"/>
  <c r="G179" i="3"/>
  <c r="F179" i="3"/>
  <c r="H179" i="3" s="1"/>
  <c r="I179" i="3" s="1"/>
  <c r="E179" i="3"/>
  <c r="D179" i="3"/>
  <c r="C179" i="3"/>
  <c r="B179" i="3"/>
  <c r="A179" i="3"/>
  <c r="H178" i="3"/>
  <c r="I178" i="3" s="1"/>
  <c r="G178" i="3"/>
  <c r="F178" i="3"/>
  <c r="E178" i="3"/>
  <c r="D178" i="3"/>
  <c r="C178" i="3"/>
  <c r="B178" i="3"/>
  <c r="A178" i="3"/>
  <c r="G177" i="3"/>
  <c r="H177" i="3" s="1"/>
  <c r="I177" i="3" s="1"/>
  <c r="F177" i="3"/>
  <c r="E177" i="3"/>
  <c r="D177" i="3"/>
  <c r="C177" i="3"/>
  <c r="B177" i="3"/>
  <c r="A177" i="3"/>
  <c r="G176" i="3"/>
  <c r="F176" i="3"/>
  <c r="H176" i="3" s="1"/>
  <c r="I176" i="3" s="1"/>
  <c r="E176" i="3"/>
  <c r="D176" i="3"/>
  <c r="C176" i="3"/>
  <c r="B176" i="3"/>
  <c r="A176" i="3"/>
  <c r="G175" i="3"/>
  <c r="F175" i="3"/>
  <c r="H175" i="3" s="1"/>
  <c r="I175" i="3" s="1"/>
  <c r="E175" i="3"/>
  <c r="D175" i="3"/>
  <c r="C175" i="3"/>
  <c r="B175" i="3"/>
  <c r="A175" i="3"/>
  <c r="G174" i="3"/>
  <c r="F174" i="3"/>
  <c r="H174" i="3" s="1"/>
  <c r="I174" i="3" s="1"/>
  <c r="E174" i="3"/>
  <c r="D174" i="3"/>
  <c r="C174" i="3"/>
  <c r="B174" i="3"/>
  <c r="A174" i="3"/>
  <c r="G173" i="3"/>
  <c r="H173" i="3" s="1"/>
  <c r="I173" i="3" s="1"/>
  <c r="F173" i="3"/>
  <c r="E173" i="3"/>
  <c r="D173" i="3"/>
  <c r="C173" i="3"/>
  <c r="B173" i="3"/>
  <c r="A173" i="3"/>
  <c r="H172" i="3"/>
  <c r="I172" i="3" s="1"/>
  <c r="G172" i="3"/>
  <c r="F172" i="3"/>
  <c r="E172" i="3"/>
  <c r="D172" i="3"/>
  <c r="C172" i="3"/>
  <c r="B172" i="3"/>
  <c r="A172" i="3"/>
  <c r="G171" i="3"/>
  <c r="F171" i="3"/>
  <c r="H171" i="3" s="1"/>
  <c r="I171" i="3" s="1"/>
  <c r="E171" i="3"/>
  <c r="D171" i="3"/>
  <c r="C171" i="3"/>
  <c r="B171" i="3"/>
  <c r="A171" i="3"/>
  <c r="H170" i="3"/>
  <c r="I170" i="3" s="1"/>
  <c r="G170" i="3"/>
  <c r="F170" i="3"/>
  <c r="E170" i="3"/>
  <c r="D170" i="3"/>
  <c r="C170" i="3"/>
  <c r="B170" i="3"/>
  <c r="A170" i="3"/>
  <c r="G169" i="3"/>
  <c r="H169" i="3" s="1"/>
  <c r="I169" i="3" s="1"/>
  <c r="F169" i="3"/>
  <c r="E169" i="3"/>
  <c r="D169" i="3"/>
  <c r="C169" i="3"/>
  <c r="B169" i="3"/>
  <c r="A169" i="3"/>
  <c r="G168" i="3"/>
  <c r="F168" i="3"/>
  <c r="H168" i="3" s="1"/>
  <c r="I168" i="3" s="1"/>
  <c r="E168" i="3"/>
  <c r="D168" i="3"/>
  <c r="C168" i="3"/>
  <c r="B168" i="3"/>
  <c r="A168" i="3"/>
  <c r="G167" i="3"/>
  <c r="F167" i="3"/>
  <c r="H167" i="3" s="1"/>
  <c r="I167" i="3" s="1"/>
  <c r="E167" i="3"/>
  <c r="D167" i="3"/>
  <c r="C167" i="3"/>
  <c r="B167" i="3"/>
  <c r="A167" i="3"/>
  <c r="G166" i="3"/>
  <c r="F166" i="3"/>
  <c r="H166" i="3" s="1"/>
  <c r="I166" i="3" s="1"/>
  <c r="E166" i="3"/>
  <c r="D166" i="3"/>
  <c r="C166" i="3"/>
  <c r="B166" i="3"/>
  <c r="A166" i="3"/>
  <c r="G165" i="3"/>
  <c r="H165" i="3" s="1"/>
  <c r="I165" i="3" s="1"/>
  <c r="F165" i="3"/>
  <c r="E165" i="3"/>
  <c r="D165" i="3"/>
  <c r="C165" i="3"/>
  <c r="B165" i="3"/>
  <c r="A165" i="3"/>
  <c r="H164" i="3"/>
  <c r="I164" i="3" s="1"/>
  <c r="G164" i="3"/>
  <c r="F164" i="3"/>
  <c r="E164" i="3"/>
  <c r="D164" i="3"/>
  <c r="C164" i="3"/>
  <c r="B164" i="3"/>
  <c r="A164" i="3"/>
  <c r="I163" i="3"/>
  <c r="G163" i="3"/>
  <c r="F163" i="3"/>
  <c r="H163" i="3" s="1"/>
  <c r="E163" i="3"/>
  <c r="D163" i="3"/>
  <c r="C163" i="3"/>
  <c r="B163" i="3"/>
  <c r="A163" i="3"/>
  <c r="H162" i="3"/>
  <c r="I162" i="3" s="1"/>
  <c r="G162" i="3"/>
  <c r="F162" i="3"/>
  <c r="E162" i="3"/>
  <c r="D162" i="3"/>
  <c r="C162" i="3"/>
  <c r="B162" i="3"/>
  <c r="A162" i="3"/>
  <c r="G161" i="3"/>
  <c r="H161" i="3" s="1"/>
  <c r="I161" i="3" s="1"/>
  <c r="F161" i="3"/>
  <c r="E161" i="3"/>
  <c r="D161" i="3"/>
  <c r="C161" i="3"/>
  <c r="B161" i="3"/>
  <c r="A161" i="3"/>
  <c r="G160" i="3"/>
  <c r="F160" i="3"/>
  <c r="H160" i="3" s="1"/>
  <c r="I160" i="3" s="1"/>
  <c r="E160" i="3"/>
  <c r="D160" i="3"/>
  <c r="C160" i="3"/>
  <c r="B160" i="3"/>
  <c r="A160" i="3"/>
  <c r="G159" i="3"/>
  <c r="F159" i="3"/>
  <c r="H159" i="3" s="1"/>
  <c r="I159" i="3" s="1"/>
  <c r="E159" i="3"/>
  <c r="D159" i="3"/>
  <c r="C159" i="3"/>
  <c r="B159" i="3"/>
  <c r="A159" i="3"/>
  <c r="G158" i="3"/>
  <c r="F158" i="3"/>
  <c r="H158" i="3" s="1"/>
  <c r="I158" i="3" s="1"/>
  <c r="E158" i="3"/>
  <c r="D158" i="3"/>
  <c r="C158" i="3"/>
  <c r="B158" i="3"/>
  <c r="A158" i="3"/>
  <c r="G157" i="3"/>
  <c r="H157" i="3" s="1"/>
  <c r="I157" i="3" s="1"/>
  <c r="F157" i="3"/>
  <c r="E157" i="3"/>
  <c r="D157" i="3"/>
  <c r="C157" i="3"/>
  <c r="B157" i="3"/>
  <c r="A157" i="3"/>
  <c r="H156" i="3"/>
  <c r="I156" i="3" s="1"/>
  <c r="G156" i="3"/>
  <c r="F156" i="3"/>
  <c r="E156" i="3"/>
  <c r="D156" i="3"/>
  <c r="C156" i="3"/>
  <c r="B156" i="3"/>
  <c r="A156" i="3"/>
  <c r="G155" i="3"/>
  <c r="F155" i="3"/>
  <c r="H155" i="3" s="1"/>
  <c r="I155" i="3" s="1"/>
  <c r="E155" i="3"/>
  <c r="D155" i="3"/>
  <c r="C155" i="3"/>
  <c r="B155" i="3"/>
  <c r="A155" i="3"/>
  <c r="H154" i="3"/>
  <c r="I154" i="3" s="1"/>
  <c r="G154" i="3"/>
  <c r="F154" i="3"/>
  <c r="E154" i="3"/>
  <c r="D154" i="3"/>
  <c r="C154" i="3"/>
  <c r="B154" i="3"/>
  <c r="A154" i="3"/>
  <c r="G153" i="3"/>
  <c r="H153" i="3" s="1"/>
  <c r="I153" i="3" s="1"/>
  <c r="F153" i="3"/>
  <c r="E153" i="3"/>
  <c r="D153" i="3"/>
  <c r="C153" i="3"/>
  <c r="B153" i="3"/>
  <c r="A153" i="3"/>
  <c r="G152" i="3"/>
  <c r="F152" i="3"/>
  <c r="H152" i="3" s="1"/>
  <c r="I152" i="3" s="1"/>
  <c r="E152" i="3"/>
  <c r="D152" i="3"/>
  <c r="C152" i="3"/>
  <c r="B152" i="3"/>
  <c r="A152" i="3"/>
  <c r="G151" i="3"/>
  <c r="F151" i="3"/>
  <c r="H151" i="3" s="1"/>
  <c r="I151" i="3" s="1"/>
  <c r="E151" i="3"/>
  <c r="D151" i="3"/>
  <c r="C151" i="3"/>
  <c r="B151" i="3"/>
  <c r="A151" i="3"/>
  <c r="G150" i="3"/>
  <c r="F150" i="3"/>
  <c r="H150" i="3" s="1"/>
  <c r="I150" i="3" s="1"/>
  <c r="E150" i="3"/>
  <c r="D150" i="3"/>
  <c r="C150" i="3"/>
  <c r="B150" i="3"/>
  <c r="A150" i="3"/>
  <c r="G149" i="3"/>
  <c r="H149" i="3" s="1"/>
  <c r="I149" i="3" s="1"/>
  <c r="F149" i="3"/>
  <c r="E149" i="3"/>
  <c r="D149" i="3"/>
  <c r="C149" i="3"/>
  <c r="B149" i="3"/>
  <c r="A149" i="3"/>
  <c r="H148" i="3"/>
  <c r="I148" i="3" s="1"/>
  <c r="G148" i="3"/>
  <c r="F148" i="3"/>
  <c r="E148" i="3"/>
  <c r="D148" i="3"/>
  <c r="C148" i="3"/>
  <c r="B148" i="3"/>
  <c r="A148" i="3"/>
  <c r="G147" i="3"/>
  <c r="F147" i="3"/>
  <c r="H147" i="3" s="1"/>
  <c r="I147" i="3" s="1"/>
  <c r="E147" i="3"/>
  <c r="D147" i="3"/>
  <c r="C147" i="3"/>
  <c r="B147" i="3"/>
  <c r="A147" i="3"/>
  <c r="H146" i="3"/>
  <c r="I146" i="3" s="1"/>
  <c r="G146" i="3"/>
  <c r="F146" i="3"/>
  <c r="E146" i="3"/>
  <c r="D146" i="3"/>
  <c r="C146" i="3"/>
  <c r="B146" i="3"/>
  <c r="A146" i="3"/>
  <c r="G145" i="3"/>
  <c r="H145" i="3" s="1"/>
  <c r="I145" i="3" s="1"/>
  <c r="F145" i="3"/>
  <c r="E145" i="3"/>
  <c r="D145" i="3"/>
  <c r="C145" i="3"/>
  <c r="B145" i="3"/>
  <c r="A145" i="3"/>
  <c r="G144" i="3"/>
  <c r="F144" i="3"/>
  <c r="H144" i="3" s="1"/>
  <c r="I144" i="3" s="1"/>
  <c r="E144" i="3"/>
  <c r="D144" i="3"/>
  <c r="C144" i="3"/>
  <c r="B144" i="3"/>
  <c r="A144" i="3"/>
  <c r="G143" i="3"/>
  <c r="F143" i="3"/>
  <c r="H143" i="3" s="1"/>
  <c r="I143" i="3" s="1"/>
  <c r="E143" i="3"/>
  <c r="D143" i="3"/>
  <c r="C143" i="3"/>
  <c r="B143" i="3"/>
  <c r="A143" i="3"/>
  <c r="G142" i="3"/>
  <c r="F142" i="3"/>
  <c r="H142" i="3" s="1"/>
  <c r="I142" i="3" s="1"/>
  <c r="E142" i="3"/>
  <c r="D142" i="3"/>
  <c r="C142" i="3"/>
  <c r="B142" i="3"/>
  <c r="A142" i="3"/>
  <c r="G141" i="3"/>
  <c r="H141" i="3" s="1"/>
  <c r="I141" i="3" s="1"/>
  <c r="F141" i="3"/>
  <c r="E141" i="3"/>
  <c r="D141" i="3"/>
  <c r="C141" i="3"/>
  <c r="B141" i="3"/>
  <c r="A141" i="3"/>
  <c r="H140" i="3"/>
  <c r="I140" i="3" s="1"/>
  <c r="G140" i="3"/>
  <c r="F140" i="3"/>
  <c r="E140" i="3"/>
  <c r="D140" i="3"/>
  <c r="C140" i="3"/>
  <c r="B140" i="3"/>
  <c r="A140" i="3"/>
  <c r="G139" i="3"/>
  <c r="F139" i="3"/>
  <c r="H139" i="3" s="1"/>
  <c r="I139" i="3" s="1"/>
  <c r="E139" i="3"/>
  <c r="D139" i="3"/>
  <c r="C139" i="3"/>
  <c r="B139" i="3"/>
  <c r="A139" i="3"/>
  <c r="H138" i="3"/>
  <c r="I138" i="3" s="1"/>
  <c r="G138" i="3"/>
  <c r="F138" i="3"/>
  <c r="E138" i="3"/>
  <c r="D138" i="3"/>
  <c r="C138" i="3"/>
  <c r="B138" i="3"/>
  <c r="A138" i="3"/>
  <c r="G137" i="3"/>
  <c r="H137" i="3" s="1"/>
  <c r="I137" i="3" s="1"/>
  <c r="F137" i="3"/>
  <c r="E137" i="3"/>
  <c r="D137" i="3"/>
  <c r="C137" i="3"/>
  <c r="B137" i="3"/>
  <c r="A137" i="3"/>
  <c r="G136" i="3"/>
  <c r="F136" i="3"/>
  <c r="H136" i="3" s="1"/>
  <c r="I136" i="3" s="1"/>
  <c r="E136" i="3"/>
  <c r="D136" i="3"/>
  <c r="C136" i="3"/>
  <c r="B136" i="3"/>
  <c r="A136" i="3"/>
  <c r="G135" i="3"/>
  <c r="F135" i="3"/>
  <c r="H135" i="3" s="1"/>
  <c r="I135" i="3" s="1"/>
  <c r="E135" i="3"/>
  <c r="D135" i="3"/>
  <c r="C135" i="3"/>
  <c r="B135" i="3"/>
  <c r="A135" i="3"/>
  <c r="G134" i="3"/>
  <c r="F134" i="3"/>
  <c r="H134" i="3" s="1"/>
  <c r="I134" i="3" s="1"/>
  <c r="E134" i="3"/>
  <c r="D134" i="3"/>
  <c r="C134" i="3"/>
  <c r="B134" i="3"/>
  <c r="A134" i="3"/>
  <c r="G133" i="3"/>
  <c r="F133" i="3"/>
  <c r="E133" i="3"/>
  <c r="D133" i="3"/>
  <c r="C133" i="3"/>
  <c r="B133" i="3"/>
  <c r="A133" i="3"/>
  <c r="H132" i="3"/>
  <c r="I132" i="3" s="1"/>
  <c r="G132" i="3"/>
  <c r="F132" i="3"/>
  <c r="E132" i="3"/>
  <c r="D132" i="3"/>
  <c r="C132" i="3"/>
  <c r="B132" i="3"/>
  <c r="A132" i="3"/>
  <c r="G131" i="3"/>
  <c r="H131" i="3" s="1"/>
  <c r="I131" i="3" s="1"/>
  <c r="F131" i="3"/>
  <c r="E131" i="3"/>
  <c r="D131" i="3"/>
  <c r="C131" i="3"/>
  <c r="B131" i="3"/>
  <c r="A131" i="3"/>
  <c r="G130" i="3"/>
  <c r="F130" i="3"/>
  <c r="H130" i="3" s="1"/>
  <c r="I130" i="3" s="1"/>
  <c r="E130" i="3"/>
  <c r="D130" i="3"/>
  <c r="C130" i="3"/>
  <c r="B130" i="3"/>
  <c r="A130" i="3"/>
  <c r="G129" i="3"/>
  <c r="F129" i="3"/>
  <c r="H129" i="3" s="1"/>
  <c r="I129" i="3" s="1"/>
  <c r="E129" i="3"/>
  <c r="D129" i="3"/>
  <c r="C129" i="3"/>
  <c r="B129" i="3"/>
  <c r="A129" i="3"/>
  <c r="H128" i="3"/>
  <c r="I128" i="3" s="1"/>
  <c r="G128" i="3"/>
  <c r="F128" i="3"/>
  <c r="E128" i="3"/>
  <c r="D128" i="3"/>
  <c r="C128" i="3"/>
  <c r="B128" i="3"/>
  <c r="A128" i="3"/>
  <c r="G127" i="3"/>
  <c r="H127" i="3" s="1"/>
  <c r="I127" i="3" s="1"/>
  <c r="F127" i="3"/>
  <c r="E127" i="3"/>
  <c r="D127" i="3"/>
  <c r="C127" i="3"/>
  <c r="B127" i="3"/>
  <c r="A127" i="3"/>
  <c r="G126" i="3"/>
  <c r="F126" i="3"/>
  <c r="H126" i="3" s="1"/>
  <c r="I126" i="3" s="1"/>
  <c r="E126" i="3"/>
  <c r="D126" i="3"/>
  <c r="C126" i="3"/>
  <c r="B126" i="3"/>
  <c r="A126" i="3"/>
  <c r="G125" i="3"/>
  <c r="F125" i="3"/>
  <c r="E125" i="3"/>
  <c r="D125" i="3"/>
  <c r="C125" i="3"/>
  <c r="B125" i="3"/>
  <c r="A125" i="3"/>
  <c r="H124" i="3"/>
  <c r="I124" i="3" s="1"/>
  <c r="G124" i="3"/>
  <c r="F124" i="3"/>
  <c r="E124" i="3"/>
  <c r="D124" i="3"/>
  <c r="C124" i="3"/>
  <c r="B124" i="3"/>
  <c r="A124" i="3"/>
  <c r="G123" i="3"/>
  <c r="H123" i="3" s="1"/>
  <c r="I123" i="3" s="1"/>
  <c r="F123" i="3"/>
  <c r="E123" i="3"/>
  <c r="D123" i="3"/>
  <c r="C123" i="3"/>
  <c r="B123" i="3"/>
  <c r="A123" i="3"/>
  <c r="G122" i="3"/>
  <c r="F122" i="3"/>
  <c r="H122" i="3" s="1"/>
  <c r="I122" i="3" s="1"/>
  <c r="E122" i="3"/>
  <c r="D122" i="3"/>
  <c r="C122" i="3"/>
  <c r="B122" i="3"/>
  <c r="A122" i="3"/>
  <c r="G121" i="3"/>
  <c r="F121" i="3"/>
  <c r="H121" i="3" s="1"/>
  <c r="I121" i="3" s="1"/>
  <c r="E121" i="3"/>
  <c r="D121" i="3"/>
  <c r="C121" i="3"/>
  <c r="B121" i="3"/>
  <c r="A121" i="3"/>
  <c r="H120" i="3"/>
  <c r="I120" i="3" s="1"/>
  <c r="G120" i="3"/>
  <c r="F120" i="3"/>
  <c r="E120" i="3"/>
  <c r="D120" i="3"/>
  <c r="C120" i="3"/>
  <c r="B120" i="3"/>
  <c r="A120" i="3"/>
  <c r="G119" i="3"/>
  <c r="H119" i="3" s="1"/>
  <c r="I119" i="3" s="1"/>
  <c r="F119" i="3"/>
  <c r="E119" i="3"/>
  <c r="D119" i="3"/>
  <c r="C119" i="3"/>
  <c r="B119" i="3"/>
  <c r="A119" i="3"/>
  <c r="G118" i="3"/>
  <c r="F118" i="3"/>
  <c r="H118" i="3" s="1"/>
  <c r="I118" i="3" s="1"/>
  <c r="E118" i="3"/>
  <c r="D118" i="3"/>
  <c r="C118" i="3"/>
  <c r="B118" i="3"/>
  <c r="A118" i="3"/>
  <c r="G117" i="3"/>
  <c r="F117" i="3"/>
  <c r="E117" i="3"/>
  <c r="D117" i="3"/>
  <c r="C117" i="3"/>
  <c r="B117" i="3"/>
  <c r="A117" i="3"/>
  <c r="H116" i="3"/>
  <c r="I116" i="3" s="1"/>
  <c r="G116" i="3"/>
  <c r="F116" i="3"/>
  <c r="E116" i="3"/>
  <c r="D116" i="3"/>
  <c r="C116" i="3"/>
  <c r="B116" i="3"/>
  <c r="A116" i="3"/>
  <c r="G115" i="3"/>
  <c r="H115" i="3" s="1"/>
  <c r="I115" i="3" s="1"/>
  <c r="F115" i="3"/>
  <c r="E115" i="3"/>
  <c r="D115" i="3"/>
  <c r="C115" i="3"/>
  <c r="B115" i="3"/>
  <c r="A115" i="3"/>
  <c r="G114" i="3"/>
  <c r="F114" i="3"/>
  <c r="H114" i="3" s="1"/>
  <c r="I114" i="3" s="1"/>
  <c r="E114" i="3"/>
  <c r="D114" i="3"/>
  <c r="C114" i="3"/>
  <c r="B114" i="3"/>
  <c r="A114" i="3"/>
  <c r="G113" i="3"/>
  <c r="F113" i="3"/>
  <c r="H113" i="3" s="1"/>
  <c r="I113" i="3" s="1"/>
  <c r="E113" i="3"/>
  <c r="D113" i="3"/>
  <c r="C113" i="3"/>
  <c r="B113" i="3"/>
  <c r="A113" i="3"/>
  <c r="H112" i="3"/>
  <c r="I112" i="3" s="1"/>
  <c r="G112" i="3"/>
  <c r="F112" i="3"/>
  <c r="E112" i="3"/>
  <c r="D112" i="3"/>
  <c r="C112" i="3"/>
  <c r="B112" i="3"/>
  <c r="A112" i="3"/>
  <c r="G111" i="3"/>
  <c r="H111" i="3" s="1"/>
  <c r="I111" i="3" s="1"/>
  <c r="F111" i="3"/>
  <c r="E111" i="3"/>
  <c r="D111" i="3"/>
  <c r="C111" i="3"/>
  <c r="B111" i="3"/>
  <c r="A111" i="3"/>
  <c r="G110" i="3"/>
  <c r="F110" i="3"/>
  <c r="H110" i="3" s="1"/>
  <c r="I110" i="3" s="1"/>
  <c r="E110" i="3"/>
  <c r="D110" i="3"/>
  <c r="C110" i="3"/>
  <c r="B110" i="3"/>
  <c r="A110" i="3"/>
  <c r="G109" i="3"/>
  <c r="F109" i="3"/>
  <c r="E109" i="3"/>
  <c r="D109" i="3"/>
  <c r="C109" i="3"/>
  <c r="B109" i="3"/>
  <c r="A109" i="3"/>
  <c r="H108" i="3"/>
  <c r="I108" i="3" s="1"/>
  <c r="G108" i="3"/>
  <c r="F108" i="3"/>
  <c r="E108" i="3"/>
  <c r="D108" i="3"/>
  <c r="C108" i="3"/>
  <c r="B108" i="3"/>
  <c r="A108" i="3"/>
  <c r="G107" i="3"/>
  <c r="H107" i="3" s="1"/>
  <c r="I107" i="3" s="1"/>
  <c r="F107" i="3"/>
  <c r="E107" i="3"/>
  <c r="D107" i="3"/>
  <c r="C107" i="3"/>
  <c r="B107" i="3"/>
  <c r="A107" i="3"/>
  <c r="G106" i="3"/>
  <c r="F106" i="3"/>
  <c r="H106" i="3" s="1"/>
  <c r="I106" i="3" s="1"/>
  <c r="E106" i="3"/>
  <c r="D106" i="3"/>
  <c r="C106" i="3"/>
  <c r="B106" i="3"/>
  <c r="A106" i="3"/>
  <c r="G105" i="3"/>
  <c r="F105" i="3"/>
  <c r="H105" i="3" s="1"/>
  <c r="I105" i="3" s="1"/>
  <c r="E105" i="3"/>
  <c r="D105" i="3"/>
  <c r="C105" i="3"/>
  <c r="B105" i="3"/>
  <c r="A105" i="3"/>
  <c r="H104" i="3"/>
  <c r="I104" i="3" s="1"/>
  <c r="G104" i="3"/>
  <c r="F104" i="3"/>
  <c r="E104" i="3"/>
  <c r="D104" i="3"/>
  <c r="C104" i="3"/>
  <c r="B104" i="3"/>
  <c r="A104" i="3"/>
  <c r="G103" i="3"/>
  <c r="H103" i="3" s="1"/>
  <c r="I103" i="3" s="1"/>
  <c r="F103" i="3"/>
  <c r="E103" i="3"/>
  <c r="D103" i="3"/>
  <c r="C103" i="3"/>
  <c r="B103" i="3"/>
  <c r="A103" i="3"/>
  <c r="G102" i="3"/>
  <c r="F102" i="3"/>
  <c r="H102" i="3" s="1"/>
  <c r="I102" i="3" s="1"/>
  <c r="E102" i="3"/>
  <c r="D102" i="3"/>
  <c r="C102" i="3"/>
  <c r="B102" i="3"/>
  <c r="A102" i="3"/>
  <c r="G101" i="3"/>
  <c r="F101" i="3"/>
  <c r="E101" i="3"/>
  <c r="D101" i="3"/>
  <c r="C101" i="3"/>
  <c r="B101" i="3"/>
  <c r="A101" i="3"/>
  <c r="H100" i="3"/>
  <c r="I100" i="3" s="1"/>
  <c r="G100" i="3"/>
  <c r="F100" i="3"/>
  <c r="E100" i="3"/>
  <c r="D100" i="3"/>
  <c r="C100" i="3"/>
  <c r="B100" i="3"/>
  <c r="A100" i="3"/>
  <c r="G99" i="3"/>
  <c r="H99" i="3" s="1"/>
  <c r="I99" i="3" s="1"/>
  <c r="F99" i="3"/>
  <c r="E99" i="3"/>
  <c r="D99" i="3"/>
  <c r="C99" i="3"/>
  <c r="B99" i="3"/>
  <c r="A99" i="3"/>
  <c r="G98" i="3"/>
  <c r="F98" i="3"/>
  <c r="H98" i="3" s="1"/>
  <c r="I98" i="3" s="1"/>
  <c r="E98" i="3"/>
  <c r="D98" i="3"/>
  <c r="C98" i="3"/>
  <c r="B98" i="3"/>
  <c r="A98" i="3"/>
  <c r="G97" i="3"/>
  <c r="F97" i="3"/>
  <c r="H97" i="3" s="1"/>
  <c r="I97" i="3" s="1"/>
  <c r="E97" i="3"/>
  <c r="D97" i="3"/>
  <c r="C97" i="3"/>
  <c r="B97" i="3"/>
  <c r="A97" i="3"/>
  <c r="H96" i="3"/>
  <c r="I96" i="3" s="1"/>
  <c r="G96" i="3"/>
  <c r="F96" i="3"/>
  <c r="E96" i="3"/>
  <c r="D96" i="3"/>
  <c r="C96" i="3"/>
  <c r="B96" i="3"/>
  <c r="A96" i="3"/>
  <c r="G95" i="3"/>
  <c r="H95" i="3" s="1"/>
  <c r="I95" i="3" s="1"/>
  <c r="F95" i="3"/>
  <c r="E95" i="3"/>
  <c r="D95" i="3"/>
  <c r="C95" i="3"/>
  <c r="B95" i="3"/>
  <c r="A95" i="3"/>
  <c r="G94" i="3"/>
  <c r="F94" i="3"/>
  <c r="H94" i="3" s="1"/>
  <c r="I94" i="3" s="1"/>
  <c r="E94" i="3"/>
  <c r="D94" i="3"/>
  <c r="C94" i="3"/>
  <c r="B94" i="3"/>
  <c r="A94" i="3"/>
  <c r="G93" i="3"/>
  <c r="F93" i="3"/>
  <c r="E93" i="3"/>
  <c r="D93" i="3"/>
  <c r="C93" i="3"/>
  <c r="B93" i="3"/>
  <c r="A93" i="3"/>
  <c r="H92" i="3"/>
  <c r="I92" i="3" s="1"/>
  <c r="G92" i="3"/>
  <c r="F92" i="3"/>
  <c r="E92" i="3"/>
  <c r="D92" i="3"/>
  <c r="C92" i="3"/>
  <c r="B92" i="3"/>
  <c r="A92" i="3"/>
  <c r="G91" i="3"/>
  <c r="H91" i="3" s="1"/>
  <c r="I91" i="3" s="1"/>
  <c r="F91" i="3"/>
  <c r="E91" i="3"/>
  <c r="D91" i="3"/>
  <c r="C91" i="3"/>
  <c r="B91" i="3"/>
  <c r="A91" i="3"/>
  <c r="G90" i="3"/>
  <c r="F90" i="3"/>
  <c r="H90" i="3" s="1"/>
  <c r="I90" i="3" s="1"/>
  <c r="E90" i="3"/>
  <c r="D90" i="3"/>
  <c r="C90" i="3"/>
  <c r="B90" i="3"/>
  <c r="A90" i="3"/>
  <c r="G89" i="3"/>
  <c r="F89" i="3"/>
  <c r="H89" i="3" s="1"/>
  <c r="I89" i="3" s="1"/>
  <c r="E89" i="3"/>
  <c r="D89" i="3"/>
  <c r="C89" i="3"/>
  <c r="B89" i="3"/>
  <c r="A89" i="3"/>
  <c r="G88" i="3"/>
  <c r="F88" i="3"/>
  <c r="H88" i="3" s="1"/>
  <c r="I88" i="3" s="1"/>
  <c r="E88" i="3"/>
  <c r="D88" i="3"/>
  <c r="C88" i="3"/>
  <c r="B88" i="3"/>
  <c r="A88" i="3"/>
  <c r="G87" i="3"/>
  <c r="H87" i="3" s="1"/>
  <c r="I87" i="3" s="1"/>
  <c r="F87" i="3"/>
  <c r="E87" i="3"/>
  <c r="D87" i="3"/>
  <c r="C87" i="3"/>
  <c r="B87" i="3"/>
  <c r="A87" i="3"/>
  <c r="G86" i="3"/>
  <c r="F86" i="3"/>
  <c r="H86" i="3" s="1"/>
  <c r="I86" i="3" s="1"/>
  <c r="E86" i="3"/>
  <c r="D86" i="3"/>
  <c r="C86" i="3"/>
  <c r="B86" i="3"/>
  <c r="A86" i="3"/>
  <c r="G85" i="3"/>
  <c r="F85" i="3"/>
  <c r="H85" i="3" s="1"/>
  <c r="I85" i="3" s="1"/>
  <c r="E85" i="3"/>
  <c r="D85" i="3"/>
  <c r="C85" i="3"/>
  <c r="B85" i="3"/>
  <c r="A85" i="3"/>
  <c r="G84" i="3"/>
  <c r="F84" i="3"/>
  <c r="H84" i="3" s="1"/>
  <c r="I84" i="3" s="1"/>
  <c r="E84" i="3"/>
  <c r="D84" i="3"/>
  <c r="C84" i="3"/>
  <c r="B84" i="3"/>
  <c r="A84" i="3"/>
  <c r="G83" i="3"/>
  <c r="H83" i="3" s="1"/>
  <c r="I83" i="3" s="1"/>
  <c r="F83" i="3"/>
  <c r="E83" i="3"/>
  <c r="D83" i="3"/>
  <c r="C83" i="3"/>
  <c r="B83" i="3"/>
  <c r="A83" i="3"/>
  <c r="G82" i="3"/>
  <c r="F82" i="3"/>
  <c r="H82" i="3" s="1"/>
  <c r="I82" i="3" s="1"/>
  <c r="E82" i="3"/>
  <c r="D82" i="3"/>
  <c r="C82" i="3"/>
  <c r="B82" i="3"/>
  <c r="A82" i="3"/>
  <c r="G81" i="3"/>
  <c r="F81" i="3"/>
  <c r="H81" i="3" s="1"/>
  <c r="I81" i="3" s="1"/>
  <c r="E81" i="3"/>
  <c r="D81" i="3"/>
  <c r="C81" i="3"/>
  <c r="B81" i="3"/>
  <c r="A81" i="3"/>
  <c r="G80" i="3"/>
  <c r="F80" i="3"/>
  <c r="H80" i="3" s="1"/>
  <c r="I80" i="3" s="1"/>
  <c r="E80" i="3"/>
  <c r="D80" i="3"/>
  <c r="C80" i="3"/>
  <c r="B80" i="3"/>
  <c r="A80" i="3"/>
  <c r="G79" i="3"/>
  <c r="H79" i="3" s="1"/>
  <c r="I79" i="3" s="1"/>
  <c r="F79" i="3"/>
  <c r="E79" i="3"/>
  <c r="D79" i="3"/>
  <c r="C79" i="3"/>
  <c r="B79" i="3"/>
  <c r="A79" i="3"/>
  <c r="G78" i="3"/>
  <c r="F78" i="3"/>
  <c r="H78" i="3" s="1"/>
  <c r="I78" i="3" s="1"/>
  <c r="E78" i="3"/>
  <c r="D78" i="3"/>
  <c r="C78" i="3"/>
  <c r="B78" i="3"/>
  <c r="A78" i="3"/>
  <c r="G77" i="3"/>
  <c r="F77" i="3"/>
  <c r="H77" i="3" s="1"/>
  <c r="I77" i="3" s="1"/>
  <c r="E77" i="3"/>
  <c r="D77" i="3"/>
  <c r="C77" i="3"/>
  <c r="B77" i="3"/>
  <c r="A77" i="3"/>
  <c r="G76" i="3"/>
  <c r="F76" i="3"/>
  <c r="H76" i="3" s="1"/>
  <c r="I76" i="3" s="1"/>
  <c r="E76" i="3"/>
  <c r="D76" i="3"/>
  <c r="C76" i="3"/>
  <c r="B76" i="3"/>
  <c r="A76" i="3"/>
  <c r="G75" i="3"/>
  <c r="H75" i="3" s="1"/>
  <c r="I75" i="3" s="1"/>
  <c r="F75" i="3"/>
  <c r="E75" i="3"/>
  <c r="D75" i="3"/>
  <c r="C75" i="3"/>
  <c r="B75" i="3"/>
  <c r="A75" i="3"/>
  <c r="G74" i="3"/>
  <c r="F74" i="3"/>
  <c r="H74" i="3" s="1"/>
  <c r="I74" i="3" s="1"/>
  <c r="E74" i="3"/>
  <c r="D74" i="3"/>
  <c r="C74" i="3"/>
  <c r="B74" i="3"/>
  <c r="A74" i="3"/>
  <c r="G73" i="3"/>
  <c r="F73" i="3"/>
  <c r="H73" i="3" s="1"/>
  <c r="I73" i="3" s="1"/>
  <c r="E73" i="3"/>
  <c r="D73" i="3"/>
  <c r="C73" i="3"/>
  <c r="B73" i="3"/>
  <c r="A73" i="3"/>
  <c r="G72" i="3"/>
  <c r="F72" i="3"/>
  <c r="H72" i="3" s="1"/>
  <c r="I72" i="3" s="1"/>
  <c r="E72" i="3"/>
  <c r="D72" i="3"/>
  <c r="C72" i="3"/>
  <c r="B72" i="3"/>
  <c r="A72" i="3"/>
  <c r="G71" i="3"/>
  <c r="H71" i="3" s="1"/>
  <c r="I71" i="3" s="1"/>
  <c r="F71" i="3"/>
  <c r="E71" i="3"/>
  <c r="D71" i="3"/>
  <c r="C71" i="3"/>
  <c r="B71" i="3"/>
  <c r="A71" i="3"/>
  <c r="G70" i="3"/>
  <c r="F70" i="3"/>
  <c r="H70" i="3" s="1"/>
  <c r="I70" i="3" s="1"/>
  <c r="E70" i="3"/>
  <c r="D70" i="3"/>
  <c r="C70" i="3"/>
  <c r="B70" i="3"/>
  <c r="A70" i="3"/>
  <c r="G69" i="3"/>
  <c r="F69" i="3"/>
  <c r="H69" i="3" s="1"/>
  <c r="I69" i="3" s="1"/>
  <c r="E69" i="3"/>
  <c r="D69" i="3"/>
  <c r="C69" i="3"/>
  <c r="B69" i="3"/>
  <c r="A69" i="3"/>
  <c r="G68" i="3"/>
  <c r="F68" i="3"/>
  <c r="H68" i="3" s="1"/>
  <c r="I68" i="3" s="1"/>
  <c r="E68" i="3"/>
  <c r="D68" i="3"/>
  <c r="C68" i="3"/>
  <c r="B68" i="3"/>
  <c r="A68" i="3"/>
  <c r="G67" i="3"/>
  <c r="H67" i="3" s="1"/>
  <c r="I67" i="3" s="1"/>
  <c r="F67" i="3"/>
  <c r="E67" i="3"/>
  <c r="D67" i="3"/>
  <c r="C67" i="3"/>
  <c r="B67" i="3"/>
  <c r="A67" i="3"/>
  <c r="G66" i="3"/>
  <c r="F66" i="3"/>
  <c r="H66" i="3" s="1"/>
  <c r="I66" i="3" s="1"/>
  <c r="E66" i="3"/>
  <c r="D66" i="3"/>
  <c r="C66" i="3"/>
  <c r="B66" i="3"/>
  <c r="A66" i="3"/>
  <c r="G65" i="3"/>
  <c r="F65" i="3"/>
  <c r="H65" i="3" s="1"/>
  <c r="I65" i="3" s="1"/>
  <c r="E65" i="3"/>
  <c r="D65" i="3"/>
  <c r="C65" i="3"/>
  <c r="B65" i="3"/>
  <c r="A65" i="3"/>
  <c r="G64" i="3"/>
  <c r="F64" i="3"/>
  <c r="H64" i="3" s="1"/>
  <c r="I64" i="3" s="1"/>
  <c r="E64" i="3"/>
  <c r="D64" i="3"/>
  <c r="C64" i="3"/>
  <c r="B64" i="3"/>
  <c r="A64" i="3"/>
  <c r="G63" i="3"/>
  <c r="H63" i="3" s="1"/>
  <c r="I63" i="3" s="1"/>
  <c r="F63" i="3"/>
  <c r="E63" i="3"/>
  <c r="D63" i="3"/>
  <c r="C63" i="3"/>
  <c r="B63" i="3"/>
  <c r="A63" i="3"/>
  <c r="G62" i="3"/>
  <c r="F62" i="3"/>
  <c r="H62" i="3" s="1"/>
  <c r="I62" i="3" s="1"/>
  <c r="E62" i="3"/>
  <c r="D62" i="3"/>
  <c r="C62" i="3"/>
  <c r="B62" i="3"/>
  <c r="A62" i="3"/>
  <c r="G61" i="3"/>
  <c r="F61" i="3"/>
  <c r="H61" i="3" s="1"/>
  <c r="I61" i="3" s="1"/>
  <c r="E61" i="3"/>
  <c r="D61" i="3"/>
  <c r="C61" i="3"/>
  <c r="B61" i="3"/>
  <c r="A61" i="3"/>
  <c r="G60" i="3"/>
  <c r="F60" i="3"/>
  <c r="H60" i="3" s="1"/>
  <c r="I60" i="3" s="1"/>
  <c r="E60" i="3"/>
  <c r="D60" i="3"/>
  <c r="C60" i="3"/>
  <c r="B60" i="3"/>
  <c r="A60" i="3"/>
  <c r="G59" i="3"/>
  <c r="H59" i="3" s="1"/>
  <c r="I59" i="3" s="1"/>
  <c r="F59" i="3"/>
  <c r="E59" i="3"/>
  <c r="D59" i="3"/>
  <c r="C59" i="3"/>
  <c r="B59" i="3"/>
  <c r="A59" i="3"/>
  <c r="G58" i="3"/>
  <c r="F58" i="3"/>
  <c r="H58" i="3" s="1"/>
  <c r="I58" i="3" s="1"/>
  <c r="E58" i="3"/>
  <c r="D58" i="3"/>
  <c r="C58" i="3"/>
  <c r="B58" i="3"/>
  <c r="A58" i="3"/>
  <c r="G57" i="3"/>
  <c r="F57" i="3"/>
  <c r="H57" i="3" s="1"/>
  <c r="I57" i="3" s="1"/>
  <c r="E57" i="3"/>
  <c r="D57" i="3"/>
  <c r="C57" i="3"/>
  <c r="B57" i="3"/>
  <c r="A57" i="3"/>
  <c r="G56" i="3"/>
  <c r="F56" i="3"/>
  <c r="H56" i="3" s="1"/>
  <c r="I56" i="3" s="1"/>
  <c r="E56" i="3"/>
  <c r="D56" i="3"/>
  <c r="C56" i="3"/>
  <c r="B56" i="3"/>
  <c r="A56" i="3"/>
  <c r="G55" i="3"/>
  <c r="H55" i="3" s="1"/>
  <c r="I55" i="3" s="1"/>
  <c r="F55" i="3"/>
  <c r="E55" i="3"/>
  <c r="D55" i="3"/>
  <c r="C55" i="3"/>
  <c r="B55" i="3"/>
  <c r="A55" i="3"/>
  <c r="G54" i="3"/>
  <c r="F54" i="3"/>
  <c r="H54" i="3" s="1"/>
  <c r="I54" i="3" s="1"/>
  <c r="E54" i="3"/>
  <c r="D54" i="3"/>
  <c r="C54" i="3"/>
  <c r="B54" i="3"/>
  <c r="A54" i="3"/>
  <c r="G53" i="3"/>
  <c r="F53" i="3"/>
  <c r="H53" i="3" s="1"/>
  <c r="I53" i="3" s="1"/>
  <c r="E53" i="3"/>
  <c r="D53" i="3"/>
  <c r="C53" i="3"/>
  <c r="B53" i="3"/>
  <c r="A53" i="3"/>
  <c r="G52" i="3"/>
  <c r="F52" i="3"/>
  <c r="H52" i="3" s="1"/>
  <c r="I52" i="3" s="1"/>
  <c r="E52" i="3"/>
  <c r="D52" i="3"/>
  <c r="C52" i="3"/>
  <c r="B52" i="3"/>
  <c r="A52" i="3"/>
  <c r="G51" i="3"/>
  <c r="H51" i="3" s="1"/>
  <c r="I51" i="3" s="1"/>
  <c r="F51" i="3"/>
  <c r="E51" i="3"/>
  <c r="D51" i="3"/>
  <c r="C51" i="3"/>
  <c r="B51" i="3"/>
  <c r="A51" i="3"/>
  <c r="G50" i="3"/>
  <c r="F50" i="3"/>
  <c r="H50" i="3" s="1"/>
  <c r="I50" i="3" s="1"/>
  <c r="E50" i="3"/>
  <c r="D50" i="3"/>
  <c r="C50" i="3"/>
  <c r="B50" i="3"/>
  <c r="A50" i="3"/>
  <c r="G49" i="3"/>
  <c r="F49" i="3"/>
  <c r="H49" i="3" s="1"/>
  <c r="I49" i="3" s="1"/>
  <c r="E49" i="3"/>
  <c r="D49" i="3"/>
  <c r="C49" i="3"/>
  <c r="B49" i="3"/>
  <c r="A49" i="3"/>
  <c r="G48" i="3"/>
  <c r="F48" i="3"/>
  <c r="H48" i="3" s="1"/>
  <c r="I48" i="3" s="1"/>
  <c r="E48" i="3"/>
  <c r="D48" i="3"/>
  <c r="C48" i="3"/>
  <c r="B48" i="3"/>
  <c r="A48" i="3"/>
  <c r="G47" i="3"/>
  <c r="H47" i="3" s="1"/>
  <c r="I47" i="3" s="1"/>
  <c r="F47" i="3"/>
  <c r="E47" i="3"/>
  <c r="D47" i="3"/>
  <c r="C47" i="3"/>
  <c r="B47" i="3"/>
  <c r="A47" i="3"/>
  <c r="G46" i="3"/>
  <c r="F46" i="3"/>
  <c r="H46" i="3" s="1"/>
  <c r="I46" i="3" s="1"/>
  <c r="E46" i="3"/>
  <c r="D46" i="3"/>
  <c r="C46" i="3"/>
  <c r="B46" i="3"/>
  <c r="A46" i="3"/>
  <c r="G45" i="3"/>
  <c r="F45" i="3"/>
  <c r="H45" i="3" s="1"/>
  <c r="I45" i="3" s="1"/>
  <c r="E45" i="3"/>
  <c r="D45" i="3"/>
  <c r="C45" i="3"/>
  <c r="B45" i="3"/>
  <c r="A45" i="3"/>
  <c r="G44" i="3"/>
  <c r="F44" i="3"/>
  <c r="H44" i="3" s="1"/>
  <c r="I44" i="3" s="1"/>
  <c r="E44" i="3"/>
  <c r="D44" i="3"/>
  <c r="C44" i="3"/>
  <c r="B44" i="3"/>
  <c r="A44" i="3"/>
  <c r="G43" i="3"/>
  <c r="H43" i="3" s="1"/>
  <c r="I43" i="3" s="1"/>
  <c r="F43" i="3"/>
  <c r="E43" i="3"/>
  <c r="D43" i="3"/>
  <c r="C43" i="3"/>
  <c r="B43" i="3"/>
  <c r="A43" i="3"/>
  <c r="G42" i="3"/>
  <c r="F42" i="3"/>
  <c r="H42" i="3" s="1"/>
  <c r="I42" i="3" s="1"/>
  <c r="E42" i="3"/>
  <c r="D42" i="3"/>
  <c r="C42" i="3"/>
  <c r="B42" i="3"/>
  <c r="A42" i="3"/>
  <c r="G41" i="3"/>
  <c r="F41" i="3"/>
  <c r="H41" i="3" s="1"/>
  <c r="I41" i="3" s="1"/>
  <c r="E41" i="3"/>
  <c r="D41" i="3"/>
  <c r="C41" i="3"/>
  <c r="B41" i="3"/>
  <c r="A41" i="3"/>
  <c r="G40" i="3"/>
  <c r="F40" i="3"/>
  <c r="H40" i="3" s="1"/>
  <c r="I40" i="3" s="1"/>
  <c r="E40" i="3"/>
  <c r="D40" i="3"/>
  <c r="C40" i="3"/>
  <c r="B40" i="3"/>
  <c r="A40" i="3"/>
  <c r="G39" i="3"/>
  <c r="H39" i="3" s="1"/>
  <c r="I39" i="3" s="1"/>
  <c r="F39" i="3"/>
  <c r="E39" i="3"/>
  <c r="D39" i="3"/>
  <c r="C39" i="3"/>
  <c r="B39" i="3"/>
  <c r="A39" i="3"/>
  <c r="G38" i="3"/>
  <c r="F38" i="3"/>
  <c r="H38" i="3" s="1"/>
  <c r="I38" i="3" s="1"/>
  <c r="E38" i="3"/>
  <c r="D38" i="3"/>
  <c r="C38" i="3"/>
  <c r="B38" i="3"/>
  <c r="A38" i="3"/>
  <c r="G37" i="3"/>
  <c r="F37" i="3"/>
  <c r="H37" i="3" s="1"/>
  <c r="I37" i="3" s="1"/>
  <c r="E37" i="3"/>
  <c r="D37" i="3"/>
  <c r="C37" i="3"/>
  <c r="B37" i="3"/>
  <c r="A37" i="3"/>
  <c r="G36" i="3"/>
  <c r="F36" i="3"/>
  <c r="H36" i="3" s="1"/>
  <c r="I36" i="3" s="1"/>
  <c r="E36" i="3"/>
  <c r="D36" i="3"/>
  <c r="C36" i="3"/>
  <c r="B36" i="3"/>
  <c r="A36" i="3"/>
  <c r="G35" i="3"/>
  <c r="H35" i="3" s="1"/>
  <c r="I35" i="3" s="1"/>
  <c r="F35" i="3"/>
  <c r="E35" i="3"/>
  <c r="D35" i="3"/>
  <c r="C35" i="3"/>
  <c r="B35" i="3"/>
  <c r="A35" i="3"/>
  <c r="G34" i="3"/>
  <c r="F34" i="3"/>
  <c r="H34" i="3" s="1"/>
  <c r="I34" i="3" s="1"/>
  <c r="E34" i="3"/>
  <c r="D34" i="3"/>
  <c r="C34" i="3"/>
  <c r="B34" i="3"/>
  <c r="A34" i="3"/>
  <c r="G33" i="3"/>
  <c r="F33" i="3"/>
  <c r="H33" i="3" s="1"/>
  <c r="I33" i="3" s="1"/>
  <c r="E33" i="3"/>
  <c r="D33" i="3"/>
  <c r="C33" i="3"/>
  <c r="B33" i="3"/>
  <c r="A33" i="3"/>
  <c r="G32" i="3"/>
  <c r="F32" i="3"/>
  <c r="H32" i="3" s="1"/>
  <c r="I32" i="3" s="1"/>
  <c r="E32" i="3"/>
  <c r="D32" i="3"/>
  <c r="C32" i="3"/>
  <c r="B32" i="3"/>
  <c r="A32" i="3"/>
  <c r="G31" i="3"/>
  <c r="H31" i="3" s="1"/>
  <c r="I31" i="3" s="1"/>
  <c r="F31" i="3"/>
  <c r="E31" i="3"/>
  <c r="D31" i="3"/>
  <c r="C31" i="3"/>
  <c r="B31" i="3"/>
  <c r="A31" i="3"/>
  <c r="G30" i="3"/>
  <c r="F30" i="3"/>
  <c r="H30" i="3" s="1"/>
  <c r="I30" i="3" s="1"/>
  <c r="E30" i="3"/>
  <c r="D30" i="3"/>
  <c r="C30" i="3"/>
  <c r="B30" i="3"/>
  <c r="A30" i="3"/>
  <c r="G29" i="3"/>
  <c r="F29" i="3"/>
  <c r="H29" i="3" s="1"/>
  <c r="I29" i="3" s="1"/>
  <c r="E29" i="3"/>
  <c r="D29" i="3"/>
  <c r="C29" i="3"/>
  <c r="B29" i="3"/>
  <c r="A29" i="3"/>
  <c r="G28" i="3"/>
  <c r="F28" i="3"/>
  <c r="H28" i="3" s="1"/>
  <c r="I28" i="3" s="1"/>
  <c r="E28" i="3"/>
  <c r="D28" i="3"/>
  <c r="C28" i="3"/>
  <c r="B28" i="3"/>
  <c r="A28" i="3"/>
  <c r="G27" i="3"/>
  <c r="H27" i="3" s="1"/>
  <c r="I27" i="3" s="1"/>
  <c r="F27" i="3"/>
  <c r="E27" i="3"/>
  <c r="D27" i="3"/>
  <c r="C27" i="3"/>
  <c r="B27" i="3"/>
  <c r="A27" i="3"/>
  <c r="G26" i="3"/>
  <c r="F26" i="3"/>
  <c r="H26" i="3" s="1"/>
  <c r="I26" i="3" s="1"/>
  <c r="E26" i="3"/>
  <c r="D26" i="3"/>
  <c r="C26" i="3"/>
  <c r="B26" i="3"/>
  <c r="A26" i="3"/>
  <c r="G25" i="3"/>
  <c r="F25" i="3"/>
  <c r="H25" i="3" s="1"/>
  <c r="I25" i="3" s="1"/>
  <c r="E25" i="3"/>
  <c r="D25" i="3"/>
  <c r="C25" i="3"/>
  <c r="B25" i="3"/>
  <c r="A25" i="3"/>
  <c r="G24" i="3"/>
  <c r="F24" i="3"/>
  <c r="H24" i="3" s="1"/>
  <c r="I24" i="3" s="1"/>
  <c r="E24" i="3"/>
  <c r="D24" i="3"/>
  <c r="C24" i="3"/>
  <c r="B24" i="3"/>
  <c r="A24" i="3"/>
  <c r="G23" i="3"/>
  <c r="H23" i="3" s="1"/>
  <c r="I23" i="3" s="1"/>
  <c r="F23" i="3"/>
  <c r="E23" i="3"/>
  <c r="D23" i="3"/>
  <c r="C23" i="3"/>
  <c r="B23" i="3"/>
  <c r="A23" i="3"/>
  <c r="G22" i="3"/>
  <c r="F22" i="3"/>
  <c r="H22" i="3" s="1"/>
  <c r="I22" i="3" s="1"/>
  <c r="E22" i="3"/>
  <c r="D22" i="3"/>
  <c r="C22" i="3"/>
  <c r="B22" i="3"/>
  <c r="A22" i="3"/>
  <c r="G21" i="3"/>
  <c r="F21" i="3"/>
  <c r="H21" i="3" s="1"/>
  <c r="I21" i="3" s="1"/>
  <c r="E21" i="3"/>
  <c r="D21" i="3"/>
  <c r="C21" i="3"/>
  <c r="B21" i="3"/>
  <c r="A21" i="3"/>
  <c r="G20" i="3"/>
  <c r="F20" i="3"/>
  <c r="H20" i="3" s="1"/>
  <c r="I20" i="3" s="1"/>
  <c r="E20" i="3"/>
  <c r="D20" i="3"/>
  <c r="C20" i="3"/>
  <c r="B20" i="3"/>
  <c r="A20" i="3"/>
  <c r="G19" i="3"/>
  <c r="H19" i="3" s="1"/>
  <c r="I19" i="3" s="1"/>
  <c r="F19" i="3"/>
  <c r="E19" i="3"/>
  <c r="D19" i="3"/>
  <c r="C19" i="3"/>
  <c r="B19" i="3"/>
  <c r="A19" i="3"/>
  <c r="G18" i="3"/>
  <c r="F18" i="3"/>
  <c r="H18" i="3" s="1"/>
  <c r="I18" i="3" s="1"/>
  <c r="E18" i="3"/>
  <c r="D18" i="3"/>
  <c r="C18" i="3"/>
  <c r="B18" i="3"/>
  <c r="A18" i="3"/>
  <c r="G17" i="3"/>
  <c r="F17" i="3"/>
  <c r="H17" i="3" s="1"/>
  <c r="I17" i="3" s="1"/>
  <c r="E17" i="3"/>
  <c r="D17" i="3"/>
  <c r="C17" i="3"/>
  <c r="B17" i="3"/>
  <c r="A17" i="3"/>
  <c r="G16" i="3"/>
  <c r="F16" i="3"/>
  <c r="H16" i="3" s="1"/>
  <c r="I16" i="3" s="1"/>
  <c r="E16" i="3"/>
  <c r="D16" i="3"/>
  <c r="C16" i="3"/>
  <c r="B16" i="3"/>
  <c r="A16" i="3"/>
  <c r="G15" i="3"/>
  <c r="H15" i="3" s="1"/>
  <c r="I15" i="3" s="1"/>
  <c r="F15" i="3"/>
  <c r="E15" i="3"/>
  <c r="D15" i="3"/>
  <c r="C15" i="3"/>
  <c r="B15" i="3"/>
  <c r="A15" i="3"/>
  <c r="G14" i="3"/>
  <c r="F14" i="3"/>
  <c r="H14" i="3" s="1"/>
  <c r="I14" i="3" s="1"/>
  <c r="E14" i="3"/>
  <c r="D14" i="3"/>
  <c r="C14" i="3"/>
  <c r="B14" i="3"/>
  <c r="A14" i="3"/>
  <c r="G13" i="3"/>
  <c r="F13" i="3"/>
  <c r="H13" i="3" s="1"/>
  <c r="I13" i="3" s="1"/>
  <c r="E13" i="3"/>
  <c r="D13" i="3"/>
  <c r="C13" i="3"/>
  <c r="B13" i="3"/>
  <c r="A13" i="3"/>
  <c r="G12" i="3"/>
  <c r="F12" i="3"/>
  <c r="H12" i="3" s="1"/>
  <c r="I12" i="3" s="1"/>
  <c r="E12" i="3"/>
  <c r="D12" i="3"/>
  <c r="C12" i="3"/>
  <c r="B12" i="3"/>
  <c r="A12" i="3"/>
  <c r="G11" i="3"/>
  <c r="H11" i="3" s="1"/>
  <c r="I11" i="3" s="1"/>
  <c r="F11" i="3"/>
  <c r="E11" i="3"/>
  <c r="D11" i="3"/>
  <c r="C11" i="3"/>
  <c r="B11" i="3"/>
  <c r="A11" i="3"/>
  <c r="G10" i="3"/>
  <c r="F10" i="3"/>
  <c r="H10" i="3" s="1"/>
  <c r="I10" i="3" s="1"/>
  <c r="E10" i="3"/>
  <c r="D10" i="3"/>
  <c r="C10" i="3"/>
  <c r="B10" i="3"/>
  <c r="A10" i="3"/>
  <c r="G9" i="3"/>
  <c r="F9" i="3"/>
  <c r="H9" i="3" s="1"/>
  <c r="I9" i="3" s="1"/>
  <c r="E9" i="3"/>
  <c r="D9" i="3"/>
  <c r="C9" i="3"/>
  <c r="B9" i="3"/>
  <c r="A9" i="3"/>
  <c r="G8" i="3"/>
  <c r="F8" i="3"/>
  <c r="H8" i="3" s="1"/>
  <c r="I8" i="3" s="1"/>
  <c r="E8" i="3"/>
  <c r="D8" i="3"/>
  <c r="C8" i="3"/>
  <c r="B8" i="3"/>
  <c r="A8" i="3"/>
  <c r="G7" i="3"/>
  <c r="H7" i="3" s="1"/>
  <c r="I7" i="3" s="1"/>
  <c r="F7" i="3"/>
  <c r="E7" i="3"/>
  <c r="D7" i="3"/>
  <c r="C7" i="3"/>
  <c r="B7" i="3"/>
  <c r="A7" i="3"/>
  <c r="G6" i="3"/>
  <c r="F6" i="3"/>
  <c r="H6" i="3" s="1"/>
  <c r="I6" i="3" s="1"/>
  <c r="E6" i="3"/>
  <c r="D6" i="3"/>
  <c r="C6" i="3"/>
  <c r="B6" i="3"/>
  <c r="A6" i="3"/>
  <c r="G5" i="3"/>
  <c r="F5" i="3"/>
  <c r="H5" i="3" s="1"/>
  <c r="I5" i="3" s="1"/>
  <c r="E5" i="3"/>
  <c r="D5" i="3"/>
  <c r="C5" i="3"/>
  <c r="B5" i="3"/>
  <c r="A5" i="3"/>
  <c r="G4" i="3"/>
  <c r="F4" i="3"/>
  <c r="H4" i="3" s="1"/>
  <c r="I4" i="3" s="1"/>
  <c r="E4" i="3"/>
  <c r="D4" i="3"/>
  <c r="C4" i="3"/>
  <c r="B4" i="3"/>
  <c r="A4" i="3"/>
  <c r="G3" i="3"/>
  <c r="H3" i="3" s="1"/>
  <c r="I3" i="3" s="1"/>
  <c r="F3" i="3"/>
  <c r="E3" i="3"/>
  <c r="D3" i="3"/>
  <c r="C3" i="3"/>
  <c r="B3" i="3"/>
  <c r="A3" i="3"/>
  <c r="G2" i="3"/>
  <c r="F2" i="3"/>
  <c r="H2" i="3" s="1"/>
  <c r="I2" i="3" s="1"/>
  <c r="E2" i="3"/>
  <c r="D2" i="3"/>
  <c r="C2" i="3"/>
  <c r="A2" i="3"/>
  <c r="H93" i="3" l="1"/>
  <c r="I93" i="3" s="1"/>
  <c r="H101" i="3"/>
  <c r="I101" i="3" s="1"/>
  <c r="H109" i="3"/>
  <c r="I109" i="3" s="1"/>
  <c r="H117" i="3"/>
  <c r="I117" i="3" s="1"/>
  <c r="H125" i="3"/>
  <c r="I125" i="3" s="1"/>
  <c r="H133" i="3"/>
  <c r="I133" i="3" s="1"/>
  <c r="J2" i="3" l="1"/>
  <c r="B4" i="4"/>
  <c r="B4" i="5" s="1"/>
  <c r="B6" i="4" l="1"/>
</calcChain>
</file>

<file path=xl/sharedStrings.xml><?xml version="1.0" encoding="utf-8"?>
<sst xmlns="http://schemas.openxmlformats.org/spreadsheetml/2006/main" count="2192" uniqueCount="223">
  <si>
    <t>IdVenta</t>
  </si>
  <si>
    <t>Fecha</t>
  </si>
  <si>
    <t>Cliente</t>
  </si>
  <si>
    <t>Ciudad</t>
  </si>
  <si>
    <t>Producto</t>
  </si>
  <si>
    <t>Cantidad</t>
  </si>
  <si>
    <t>PrecioUnitario</t>
  </si>
  <si>
    <t>TotalVenta</t>
  </si>
  <si>
    <t>05/03/2026</t>
  </si>
  <si>
    <t>Ana Torres</t>
  </si>
  <si>
    <t>Medellin</t>
  </si>
  <si>
    <t>20/03/2026</t>
  </si>
  <si>
    <t>medellín</t>
  </si>
  <si>
    <t>Laptop</t>
  </si>
  <si>
    <t>31-Jan-26</t>
  </si>
  <si>
    <t>juan perez</t>
  </si>
  <si>
    <t>bogotá</t>
  </si>
  <si>
    <t>Mouse</t>
  </si>
  <si>
    <t>02/01/2026</t>
  </si>
  <si>
    <t>Carlos Ruiz</t>
  </si>
  <si>
    <t>Bogota</t>
  </si>
  <si>
    <t>Monitor</t>
  </si>
  <si>
    <t>2026-03-06</t>
  </si>
  <si>
    <t>MARIA LOPEZ</t>
  </si>
  <si>
    <t>19/03/2026</t>
  </si>
  <si>
    <t>2026-03-01</t>
  </si>
  <si>
    <t>Bogotá</t>
  </si>
  <si>
    <t>2026-02-14</t>
  </si>
  <si>
    <t>Teclado</t>
  </si>
  <si>
    <t>12-Mar-26</t>
  </si>
  <si>
    <t>2026-02-01</t>
  </si>
  <si>
    <t>29/03/2026</t>
  </si>
  <si>
    <t>29-Jan-26</t>
  </si>
  <si>
    <t>2026-01-13</t>
  </si>
  <si>
    <t>2026-03-09</t>
  </si>
  <si>
    <t>2026-01-14</t>
  </si>
  <si>
    <t>2026-01-15</t>
  </si>
  <si>
    <t>09-Feb-26</t>
  </si>
  <si>
    <t>05-Mar-26</t>
  </si>
  <si>
    <t>11/02/2026</t>
  </si>
  <si>
    <t>2026-01-08</t>
  </si>
  <si>
    <t>27-Mar-26</t>
  </si>
  <si>
    <t>07/01/2026</t>
  </si>
  <si>
    <t>13-Jan-26</t>
  </si>
  <si>
    <t>07/03/2026</t>
  </si>
  <si>
    <t>13-Feb-26</t>
  </si>
  <si>
    <t>09/01/2026</t>
  </si>
  <si>
    <t>25/02/2026</t>
  </si>
  <si>
    <t>2026-01-22</t>
  </si>
  <si>
    <t>09-Jan-26</t>
  </si>
  <si>
    <t>14/02/2026</t>
  </si>
  <si>
    <t>2026-02-19</t>
  </si>
  <si>
    <t>16-Feb-26</t>
  </si>
  <si>
    <t>2026-02-04</t>
  </si>
  <si>
    <t>2026-03-15</t>
  </si>
  <si>
    <t>22-Mar-26</t>
  </si>
  <si>
    <t>25-Jan-26</t>
  </si>
  <si>
    <t>05-Jan-26</t>
  </si>
  <si>
    <t>13-Mar-26</t>
  </si>
  <si>
    <t>24/02/2026</t>
  </si>
  <si>
    <t>08-Mar-26</t>
  </si>
  <si>
    <t>26/01/2026</t>
  </si>
  <si>
    <t>2026-03-28</t>
  </si>
  <si>
    <t>21-Feb-26</t>
  </si>
  <si>
    <t>26/03/2026</t>
  </si>
  <si>
    <t>2026-02-23</t>
  </si>
  <si>
    <t>2026-01-07</t>
  </si>
  <si>
    <t>30/01/2026</t>
  </si>
  <si>
    <t>04/01/2026</t>
  </si>
  <si>
    <t>01-Mar-26</t>
  </si>
  <si>
    <t>23-Mar-26</t>
  </si>
  <si>
    <t>2026-03-30</t>
  </si>
  <si>
    <t>06-Mar-26</t>
  </si>
  <si>
    <t>2026-03-07</t>
  </si>
  <si>
    <t>11/01/2026</t>
  </si>
  <si>
    <t>16-Mar-26</t>
  </si>
  <si>
    <t>2026-03-10</t>
  </si>
  <si>
    <t>22/03/2026</t>
  </si>
  <si>
    <t>2026-02-15</t>
  </si>
  <si>
    <t>15/03/2026</t>
  </si>
  <si>
    <t>12-Jan-26</t>
  </si>
  <si>
    <t>2026-02-22</t>
  </si>
  <si>
    <t>05/02/2026</t>
  </si>
  <si>
    <t>24/03/2026</t>
  </si>
  <si>
    <t>19-Feb-26</t>
  </si>
  <si>
    <t>03/02/2026</t>
  </si>
  <si>
    <t>19-Mar-26</t>
  </si>
  <si>
    <t>06-Feb-26</t>
  </si>
  <si>
    <t>23-Feb-26</t>
  </si>
  <si>
    <t>17-Feb-26</t>
  </si>
  <si>
    <t>2026-01-26</t>
  </si>
  <si>
    <t>22/01/2026</t>
  </si>
  <si>
    <t>06/03/2026</t>
  </si>
  <si>
    <t>15-Mar-26</t>
  </si>
  <si>
    <t>04/03/2026</t>
  </si>
  <si>
    <t>21-Mar-26</t>
  </si>
  <si>
    <t>2026-02-09</t>
  </si>
  <si>
    <t>03-Mar-26</t>
  </si>
  <si>
    <t>2026-01-16</t>
  </si>
  <si>
    <t>17/03/2026</t>
  </si>
  <si>
    <t>15-Feb-26</t>
  </si>
  <si>
    <t>2026-02-10</t>
  </si>
  <si>
    <t>2026-01-31</t>
  </si>
  <si>
    <t>2026-02-17</t>
  </si>
  <si>
    <t>08/03/2026</t>
  </si>
  <si>
    <t>03-Jan-26</t>
  </si>
  <si>
    <t>2026-02-25</t>
  </si>
  <si>
    <t>2026-02-03</t>
  </si>
  <si>
    <t>28-Feb-26</t>
  </si>
  <si>
    <t>09/02/2026</t>
  </si>
  <si>
    <t>07-Mar-26</t>
  </si>
  <si>
    <t>11-Jan-26</t>
  </si>
  <si>
    <t>2026-03-02</t>
  </si>
  <si>
    <t>23-Jan-26</t>
  </si>
  <si>
    <t>28-Jan-26</t>
  </si>
  <si>
    <t>10-Jan-26</t>
  </si>
  <si>
    <t>2026-01-17</t>
  </si>
  <si>
    <t>20/01/2026</t>
  </si>
  <si>
    <t>04/02/2026</t>
  </si>
  <si>
    <t>13/02/2026</t>
  </si>
  <si>
    <t>2026-02-06</t>
  </si>
  <si>
    <t>27-Feb-26</t>
  </si>
  <si>
    <t>2026-02-28</t>
  </si>
  <si>
    <t>02-Mar-26</t>
  </si>
  <si>
    <t>28-Mar-26</t>
  </si>
  <si>
    <t>2026-01-20</t>
  </si>
  <si>
    <t>15/01/2026</t>
  </si>
  <si>
    <t>2026-02-16</t>
  </si>
  <si>
    <t>2026-03-05</t>
  </si>
  <si>
    <t>16-Jan-26</t>
  </si>
  <si>
    <t>20-Mar-26</t>
  </si>
  <si>
    <t>18/02/2026</t>
  </si>
  <si>
    <t>13/03/2026</t>
  </si>
  <si>
    <t>06/02/2026</t>
  </si>
  <si>
    <t>27/03/2026</t>
  </si>
  <si>
    <t>23/03/2026</t>
  </si>
  <si>
    <t>01-Apr-26</t>
  </si>
  <si>
    <t>2026-01-04</t>
  </si>
  <si>
    <t>03-Feb-26</t>
  </si>
  <si>
    <t>04-Jan-26</t>
  </si>
  <si>
    <t>2026-01-02</t>
  </si>
  <si>
    <t>02-Feb-26</t>
  </si>
  <si>
    <t>23/02/2026</t>
  </si>
  <si>
    <t>24-Feb-26</t>
  </si>
  <si>
    <t>15/02/2026</t>
  </si>
  <si>
    <t>31-Mar-26</t>
  </si>
  <si>
    <t>24-Jan-26</t>
  </si>
  <si>
    <t>13/01/2026</t>
  </si>
  <si>
    <t>29/01/2026</t>
  </si>
  <si>
    <t>08/02/2026</t>
  </si>
  <si>
    <t>18/03/2026</t>
  </si>
  <si>
    <t>03/03/2026</t>
  </si>
  <si>
    <t>2026-01-19</t>
  </si>
  <si>
    <t>08-Jan-26</t>
  </si>
  <si>
    <t>02-Jan-26</t>
  </si>
  <si>
    <t>01/04/2026</t>
  </si>
  <si>
    <t>12/03/2026</t>
  </si>
  <si>
    <t>2026-02-27</t>
  </si>
  <si>
    <t>2026-03-13</t>
  </si>
  <si>
    <t>27-Jan-26</t>
  </si>
  <si>
    <t>20-Feb-26</t>
  </si>
  <si>
    <t>2026-01-09</t>
  </si>
  <si>
    <t>2026-02-26</t>
  </si>
  <si>
    <t>2026-01-24</t>
  </si>
  <si>
    <t>2026-03-12</t>
  </si>
  <si>
    <t>25/01/2026</t>
  </si>
  <si>
    <t>20/02/2026</t>
  </si>
  <si>
    <t>30-Mar-26</t>
  </si>
  <si>
    <t>2026-03-14</t>
  </si>
  <si>
    <t>16/03/2026</t>
  </si>
  <si>
    <t>2026-03-31</t>
  </si>
  <si>
    <t>18-Feb-26</t>
  </si>
  <si>
    <t>22/02/2026</t>
  </si>
  <si>
    <t>2026-02-11</t>
  </si>
  <si>
    <t>2026-03-23</t>
  </si>
  <si>
    <t>2026-02-08</t>
  </si>
  <si>
    <t>2026-03-17</t>
  </si>
  <si>
    <t>01-Jan-26</t>
  </si>
  <si>
    <t>07-Feb-26</t>
  </si>
  <si>
    <t>06/01/2026</t>
  </si>
  <si>
    <t>2026-01-27</t>
  </si>
  <si>
    <t>01/01/2026</t>
  </si>
  <si>
    <t>16/02/2026</t>
  </si>
  <si>
    <t>23/01/2026</t>
  </si>
  <si>
    <t>2026-01-01</t>
  </si>
  <si>
    <t>16/01/2026</t>
  </si>
  <si>
    <t>11-Mar-26</t>
  </si>
  <si>
    <t>12-Feb-26</t>
  </si>
  <si>
    <t>14-Feb-26</t>
  </si>
  <si>
    <t>02/03/2026</t>
  </si>
  <si>
    <t>25/03/2026</t>
  </si>
  <si>
    <t>21/02/2026</t>
  </si>
  <si>
    <t>2026-03-29</t>
  </si>
  <si>
    <t>09/03/2026</t>
  </si>
  <si>
    <t>03/01/2026</t>
  </si>
  <si>
    <t>10/02/2026</t>
  </si>
  <si>
    <t>2026-03-21</t>
  </si>
  <si>
    <t>15-Jan-26</t>
  </si>
  <si>
    <t>17-Mar-26</t>
  </si>
  <si>
    <t>21-Jan-26</t>
  </si>
  <si>
    <t>Fecha_Normalizada</t>
  </si>
  <si>
    <t>Cliente_Limpio</t>
  </si>
  <si>
    <t>Ciudad_Limpia</t>
  </si>
  <si>
    <t>Producto_Limpio</t>
  </si>
  <si>
    <t>Cantidad_Validada</t>
  </si>
  <si>
    <t>Total_Calculado</t>
  </si>
  <si>
    <t>Estado_Total</t>
  </si>
  <si>
    <t>Métrica</t>
  </si>
  <si>
    <t>Valor</t>
  </si>
  <si>
    <t>Total Registros</t>
  </si>
  <si>
    <t>Cantidad Inválida</t>
  </si>
  <si>
    <t>Total Incorrecto</t>
  </si>
  <si>
    <t>Cliente Vacío</t>
  </si>
  <si>
    <t>% Error Total</t>
  </si>
  <si>
    <t>Indicadores de Calidad de Datos</t>
  </si>
  <si>
    <t>Criterio</t>
  </si>
  <si>
    <t>Puntaje Máximo</t>
  </si>
  <si>
    <t>Identificación de errores</t>
  </si>
  <si>
    <t>Estandarización de datos</t>
  </si>
  <si>
    <t>Corrección con fórmulas</t>
  </si>
  <si>
    <t>Cálculo de KPIs</t>
  </si>
  <si>
    <t>Construcción de Dashboard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</si>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</sst>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Errores Detectados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Dashboard!$A$3:$A$5</c:f>
              <c:strCache>
                <c:ptCount val="3"/>
                <c:pt idx="0">
                  <c:v>Cantidad Inválida</c:v>
                </c:pt>
                <c:pt idx="1">
                  <c:v>Total Incorrecto</c:v>
                </c:pt>
                <c:pt idx="2">
                  <c:v>Cliente Vacío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200</c:v>
                </c:pt>
                <c:pt idx="1">
                  <c:v>224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F-4075-AB86-CC0A762D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Tipo Error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workbookViewId="0">
      <selection activeCell="F2" sqref="F2"/>
    </sheetView>
  </sheetViews>
  <sheetFormatPr baseColWidth="10" defaultColWidth="9.140625" defaultRowHeight="15" x14ac:dyDescent="0.25"/>
  <cols>
    <col min="2" max="2" width="10.7109375" bestFit="1" customWidth="1"/>
    <col min="3" max="3" width="12.85546875" bestFit="1" customWidth="1"/>
    <col min="4" max="4" width="9" bestFit="1" customWidth="1"/>
    <col min="7" max="7" width="13.7109375" bestFit="1" customWidth="1"/>
    <col min="8" max="8" width="10.7109375" bestFit="1" customWidth="1"/>
    <col min="11" max="11" width="10.42578125" hidden="1" customWidth="1"/>
    <col min="12" max="12" width="0" hidden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>
        <v>1</v>
      </c>
      <c r="B2" t="s">
        <v>8</v>
      </c>
      <c r="C2" t="s">
        <v>9</v>
      </c>
      <c r="D2" t="s">
        <v>10</v>
      </c>
      <c r="F2">
        <v>0</v>
      </c>
      <c r="G2">
        <v>1500</v>
      </c>
      <c r="H2">
        <v>0</v>
      </c>
      <c r="K2">
        <f>IFERROR(DATE(VALUE(RIGHT(B2,4)),VALUE(MID(B2,4,2)),VALUE(LEFT(B2,2))),B2)</f>
        <v>46086</v>
      </c>
      <c r="L2" t="str">
        <f>+IF(ISNUMBER(K2),"OK","ERROR")</f>
        <v>OK</v>
      </c>
    </row>
    <row r="3" spans="1:12" x14ac:dyDescent="0.25">
      <c r="A3">
        <v>2</v>
      </c>
      <c r="B3" t="s">
        <v>11</v>
      </c>
      <c r="D3" t="s">
        <v>12</v>
      </c>
      <c r="E3" t="s">
        <v>13</v>
      </c>
      <c r="F3">
        <v>-3</v>
      </c>
      <c r="G3">
        <v>50</v>
      </c>
      <c r="H3">
        <v>-150</v>
      </c>
      <c r="K3">
        <f t="shared" ref="K3:K13" si="0">IFERROR(DATE(VALUE(RIGHT(B3,4)),VALUE(MID(B3,4,2)),VALUE(LEFT(B3,2))),B3)</f>
        <v>46101</v>
      </c>
      <c r="L3" t="str">
        <f t="shared" ref="L3:L8" si="1">+IF(ISNUMBER(K3),"OK","ERROR")</f>
        <v>OK</v>
      </c>
    </row>
    <row r="4" spans="1:12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0</v>
      </c>
      <c r="G4">
        <v>1500</v>
      </c>
      <c r="H4">
        <v>97</v>
      </c>
      <c r="K4" t="str">
        <f t="shared" si="0"/>
        <v>31-Jan-26</v>
      </c>
      <c r="L4" t="str">
        <f t="shared" si="1"/>
        <v>ERROR</v>
      </c>
    </row>
    <row r="5" spans="1:12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3</v>
      </c>
      <c r="G5">
        <v>1500</v>
      </c>
      <c r="H5">
        <v>4500</v>
      </c>
      <c r="K5">
        <f t="shared" si="0"/>
        <v>46024</v>
      </c>
      <c r="L5" t="str">
        <f t="shared" si="1"/>
        <v>OK</v>
      </c>
    </row>
    <row r="6" spans="1:12" x14ac:dyDescent="0.25">
      <c r="A6">
        <v>5</v>
      </c>
      <c r="B6" t="s">
        <v>22</v>
      </c>
      <c r="C6" t="s">
        <v>23</v>
      </c>
      <c r="D6" t="s">
        <v>12</v>
      </c>
      <c r="F6">
        <v>-2</v>
      </c>
      <c r="G6">
        <v>50</v>
      </c>
      <c r="H6">
        <v>-10</v>
      </c>
      <c r="K6" t="str">
        <f t="shared" si="0"/>
        <v>2026-03-06</v>
      </c>
      <c r="L6" t="str">
        <f t="shared" si="1"/>
        <v>ERROR</v>
      </c>
    </row>
    <row r="7" spans="1:12" x14ac:dyDescent="0.25">
      <c r="A7">
        <v>6</v>
      </c>
      <c r="B7" t="s">
        <v>24</v>
      </c>
      <c r="C7" t="s">
        <v>23</v>
      </c>
      <c r="D7" t="s">
        <v>10</v>
      </c>
      <c r="E7" t="s">
        <v>21</v>
      </c>
      <c r="F7">
        <v>0</v>
      </c>
      <c r="G7">
        <v>1500</v>
      </c>
      <c r="H7">
        <v>0</v>
      </c>
      <c r="K7">
        <f t="shared" si="0"/>
        <v>46100</v>
      </c>
      <c r="L7" t="str">
        <f t="shared" si="1"/>
        <v>OK</v>
      </c>
    </row>
    <row r="8" spans="1:12" x14ac:dyDescent="0.25">
      <c r="A8">
        <v>7</v>
      </c>
      <c r="B8" t="s">
        <v>25</v>
      </c>
      <c r="C8" t="s">
        <v>9</v>
      </c>
      <c r="D8" t="s">
        <v>26</v>
      </c>
      <c r="F8">
        <v>-2</v>
      </c>
      <c r="G8">
        <v>1500</v>
      </c>
      <c r="H8">
        <v>-3000</v>
      </c>
      <c r="K8" t="str">
        <f t="shared" si="0"/>
        <v>2026-03-01</v>
      </c>
      <c r="L8" t="str">
        <f t="shared" si="1"/>
        <v>ERROR</v>
      </c>
    </row>
    <row r="9" spans="1:12" x14ac:dyDescent="0.25">
      <c r="A9">
        <v>8</v>
      </c>
      <c r="B9" t="s">
        <v>27</v>
      </c>
      <c r="C9" t="s">
        <v>23</v>
      </c>
      <c r="D9" t="s">
        <v>20</v>
      </c>
      <c r="E9" t="s">
        <v>28</v>
      </c>
      <c r="F9">
        <v>-1</v>
      </c>
      <c r="G9">
        <v>50</v>
      </c>
      <c r="H9">
        <v>-50</v>
      </c>
      <c r="K9" t="str">
        <f t="shared" si="0"/>
        <v>2026-02-14</v>
      </c>
    </row>
    <row r="10" spans="1:12" x14ac:dyDescent="0.25">
      <c r="A10">
        <v>9</v>
      </c>
      <c r="B10" t="s">
        <v>29</v>
      </c>
      <c r="C10" t="s">
        <v>9</v>
      </c>
      <c r="D10" t="s">
        <v>10</v>
      </c>
      <c r="E10" t="s">
        <v>13</v>
      </c>
      <c r="F10">
        <v>2</v>
      </c>
      <c r="G10">
        <v>80</v>
      </c>
      <c r="H10">
        <v>160</v>
      </c>
      <c r="K10" t="str">
        <f t="shared" si="0"/>
        <v>12-Mar-26</v>
      </c>
    </row>
    <row r="11" spans="1:12" x14ac:dyDescent="0.25">
      <c r="A11">
        <v>10</v>
      </c>
      <c r="B11" t="s">
        <v>30</v>
      </c>
      <c r="C11" t="s">
        <v>15</v>
      </c>
      <c r="D11" t="s">
        <v>16</v>
      </c>
      <c r="F11">
        <v>0</v>
      </c>
      <c r="G11">
        <v>80</v>
      </c>
      <c r="H11">
        <v>0</v>
      </c>
      <c r="K11" t="str">
        <f t="shared" si="0"/>
        <v>2026-02-01</v>
      </c>
    </row>
    <row r="12" spans="1:12" x14ac:dyDescent="0.25">
      <c r="A12">
        <v>11</v>
      </c>
      <c r="B12" t="s">
        <v>31</v>
      </c>
      <c r="C12" t="s">
        <v>23</v>
      </c>
      <c r="D12" t="s">
        <v>26</v>
      </c>
      <c r="F12">
        <v>-2</v>
      </c>
      <c r="G12">
        <v>700</v>
      </c>
      <c r="H12">
        <v>-1309</v>
      </c>
      <c r="K12">
        <f t="shared" si="0"/>
        <v>46110</v>
      </c>
    </row>
    <row r="13" spans="1:12" x14ac:dyDescent="0.25">
      <c r="A13">
        <v>12</v>
      </c>
      <c r="B13" t="s">
        <v>32</v>
      </c>
      <c r="C13" t="s">
        <v>19</v>
      </c>
      <c r="D13" t="s">
        <v>16</v>
      </c>
      <c r="E13" t="s">
        <v>13</v>
      </c>
      <c r="F13">
        <v>0</v>
      </c>
      <c r="G13">
        <v>700</v>
      </c>
      <c r="H13">
        <v>0</v>
      </c>
      <c r="K13" t="str">
        <f t="shared" si="0"/>
        <v>29-Jan-26</v>
      </c>
    </row>
    <row r="14" spans="1:12" x14ac:dyDescent="0.25">
      <c r="A14">
        <v>13</v>
      </c>
      <c r="B14" t="s">
        <v>33</v>
      </c>
      <c r="C14" t="s">
        <v>15</v>
      </c>
      <c r="D14" t="s">
        <v>16</v>
      </c>
      <c r="E14" t="s">
        <v>13</v>
      </c>
      <c r="F14">
        <v>0</v>
      </c>
      <c r="G14">
        <v>50</v>
      </c>
      <c r="H14">
        <v>0</v>
      </c>
    </row>
    <row r="15" spans="1:12" x14ac:dyDescent="0.25">
      <c r="A15">
        <v>14</v>
      </c>
      <c r="B15" t="s">
        <v>34</v>
      </c>
      <c r="C15" t="s">
        <v>23</v>
      </c>
      <c r="D15" t="s">
        <v>10</v>
      </c>
      <c r="E15" t="s">
        <v>17</v>
      </c>
      <c r="F15">
        <v>-2</v>
      </c>
      <c r="G15">
        <v>80</v>
      </c>
      <c r="H15">
        <v>-160</v>
      </c>
    </row>
    <row r="16" spans="1:12" x14ac:dyDescent="0.25">
      <c r="A16">
        <v>15</v>
      </c>
      <c r="B16" t="s">
        <v>35</v>
      </c>
      <c r="D16" t="s">
        <v>16</v>
      </c>
      <c r="E16" t="s">
        <v>28</v>
      </c>
      <c r="F16">
        <v>5</v>
      </c>
      <c r="G16">
        <v>80</v>
      </c>
      <c r="H16">
        <v>400</v>
      </c>
    </row>
    <row r="17" spans="1:8" x14ac:dyDescent="0.25">
      <c r="A17">
        <v>16</v>
      </c>
      <c r="B17" t="s">
        <v>36</v>
      </c>
      <c r="C17" t="s">
        <v>19</v>
      </c>
      <c r="D17" t="s">
        <v>10</v>
      </c>
      <c r="F17">
        <v>0</v>
      </c>
      <c r="G17">
        <v>1500</v>
      </c>
      <c r="H17">
        <v>0</v>
      </c>
    </row>
    <row r="18" spans="1:8" x14ac:dyDescent="0.25">
      <c r="A18">
        <v>17</v>
      </c>
      <c r="B18" t="s">
        <v>37</v>
      </c>
      <c r="C18" t="s">
        <v>9</v>
      </c>
      <c r="D18" t="s">
        <v>12</v>
      </c>
      <c r="E18" t="s">
        <v>28</v>
      </c>
      <c r="F18">
        <v>-3</v>
      </c>
      <c r="G18">
        <v>1500</v>
      </c>
      <c r="H18">
        <v>-4473</v>
      </c>
    </row>
    <row r="19" spans="1:8" x14ac:dyDescent="0.25">
      <c r="A19">
        <v>18</v>
      </c>
      <c r="B19" t="s">
        <v>38</v>
      </c>
      <c r="C19" t="s">
        <v>23</v>
      </c>
      <c r="D19" t="s">
        <v>26</v>
      </c>
      <c r="E19" t="s">
        <v>13</v>
      </c>
      <c r="F19">
        <v>0</v>
      </c>
      <c r="G19">
        <v>700</v>
      </c>
      <c r="H19">
        <v>0</v>
      </c>
    </row>
    <row r="20" spans="1:8" x14ac:dyDescent="0.25">
      <c r="A20">
        <v>19</v>
      </c>
      <c r="B20" t="s">
        <v>39</v>
      </c>
      <c r="D20" t="s">
        <v>20</v>
      </c>
      <c r="E20" t="s">
        <v>28</v>
      </c>
      <c r="F20">
        <v>4</v>
      </c>
      <c r="G20">
        <v>700</v>
      </c>
      <c r="H20">
        <v>2800</v>
      </c>
    </row>
    <row r="21" spans="1:8" x14ac:dyDescent="0.25">
      <c r="A21">
        <v>20</v>
      </c>
      <c r="B21" t="s">
        <v>40</v>
      </c>
      <c r="C21" t="s">
        <v>9</v>
      </c>
      <c r="D21" t="s">
        <v>10</v>
      </c>
      <c r="F21">
        <v>4</v>
      </c>
      <c r="G21">
        <v>700</v>
      </c>
      <c r="H21">
        <v>2800</v>
      </c>
    </row>
    <row r="22" spans="1:8" x14ac:dyDescent="0.25">
      <c r="A22">
        <v>21</v>
      </c>
      <c r="B22" t="s">
        <v>41</v>
      </c>
      <c r="C22" t="s">
        <v>23</v>
      </c>
      <c r="D22" t="s">
        <v>20</v>
      </c>
      <c r="F22">
        <v>0</v>
      </c>
      <c r="G22">
        <v>700</v>
      </c>
      <c r="H22">
        <v>0</v>
      </c>
    </row>
    <row r="23" spans="1:8" x14ac:dyDescent="0.25">
      <c r="A23">
        <v>22</v>
      </c>
      <c r="B23" t="s">
        <v>42</v>
      </c>
      <c r="D23" t="s">
        <v>10</v>
      </c>
      <c r="F23">
        <v>-2</v>
      </c>
      <c r="G23">
        <v>700</v>
      </c>
      <c r="H23">
        <v>-1400</v>
      </c>
    </row>
    <row r="24" spans="1:8" x14ac:dyDescent="0.25">
      <c r="A24">
        <v>23</v>
      </c>
      <c r="B24" t="s">
        <v>43</v>
      </c>
      <c r="C24" t="s">
        <v>19</v>
      </c>
      <c r="D24" t="s">
        <v>10</v>
      </c>
      <c r="E24" t="s">
        <v>21</v>
      </c>
      <c r="F24">
        <v>5</v>
      </c>
      <c r="G24">
        <v>700</v>
      </c>
      <c r="H24">
        <v>3522</v>
      </c>
    </row>
    <row r="25" spans="1:8" x14ac:dyDescent="0.25">
      <c r="A25">
        <v>24</v>
      </c>
      <c r="B25" t="s">
        <v>44</v>
      </c>
      <c r="C25" t="s">
        <v>19</v>
      </c>
      <c r="D25" t="s">
        <v>26</v>
      </c>
      <c r="E25" t="s">
        <v>13</v>
      </c>
      <c r="F25">
        <v>-3</v>
      </c>
      <c r="G25">
        <v>80</v>
      </c>
      <c r="H25">
        <v>-240</v>
      </c>
    </row>
    <row r="26" spans="1:8" x14ac:dyDescent="0.25">
      <c r="A26">
        <v>25</v>
      </c>
      <c r="B26" t="s">
        <v>14</v>
      </c>
      <c r="C26" t="s">
        <v>23</v>
      </c>
      <c r="D26" t="s">
        <v>26</v>
      </c>
      <c r="E26" t="s">
        <v>28</v>
      </c>
      <c r="F26">
        <v>0</v>
      </c>
      <c r="G26">
        <v>50</v>
      </c>
      <c r="H26">
        <v>0</v>
      </c>
    </row>
    <row r="27" spans="1:8" x14ac:dyDescent="0.25">
      <c r="A27">
        <v>26</v>
      </c>
      <c r="B27" t="s">
        <v>45</v>
      </c>
      <c r="D27" t="s">
        <v>26</v>
      </c>
      <c r="F27">
        <v>5</v>
      </c>
      <c r="G27">
        <v>80</v>
      </c>
      <c r="H27">
        <v>400</v>
      </c>
    </row>
    <row r="28" spans="1:8" x14ac:dyDescent="0.25">
      <c r="A28">
        <v>27</v>
      </c>
      <c r="B28" t="s">
        <v>46</v>
      </c>
      <c r="C28" t="s">
        <v>19</v>
      </c>
      <c r="D28" t="s">
        <v>20</v>
      </c>
      <c r="F28">
        <v>-1</v>
      </c>
      <c r="G28">
        <v>1500</v>
      </c>
      <c r="H28">
        <v>-1500</v>
      </c>
    </row>
    <row r="29" spans="1:8" x14ac:dyDescent="0.25">
      <c r="A29">
        <v>28</v>
      </c>
      <c r="B29" t="s">
        <v>47</v>
      </c>
      <c r="C29" t="s">
        <v>9</v>
      </c>
      <c r="D29" t="s">
        <v>16</v>
      </c>
      <c r="E29" t="s">
        <v>17</v>
      </c>
      <c r="F29">
        <v>-3</v>
      </c>
      <c r="G29">
        <v>1500</v>
      </c>
      <c r="H29">
        <v>-4500</v>
      </c>
    </row>
    <row r="30" spans="1:8" x14ac:dyDescent="0.25">
      <c r="A30">
        <v>29</v>
      </c>
      <c r="B30" t="s">
        <v>48</v>
      </c>
      <c r="C30" t="s">
        <v>15</v>
      </c>
      <c r="D30" t="s">
        <v>26</v>
      </c>
      <c r="E30" t="s">
        <v>17</v>
      </c>
      <c r="F30">
        <v>5</v>
      </c>
      <c r="G30">
        <v>700</v>
      </c>
      <c r="H30">
        <v>3529</v>
      </c>
    </row>
    <row r="31" spans="1:8" x14ac:dyDescent="0.25">
      <c r="A31">
        <v>30</v>
      </c>
      <c r="B31" t="s">
        <v>49</v>
      </c>
      <c r="C31" t="s">
        <v>23</v>
      </c>
      <c r="D31" t="s">
        <v>10</v>
      </c>
      <c r="E31" t="s">
        <v>13</v>
      </c>
      <c r="F31">
        <v>0</v>
      </c>
      <c r="G31">
        <v>80</v>
      </c>
      <c r="H31">
        <v>0</v>
      </c>
    </row>
    <row r="32" spans="1:8" x14ac:dyDescent="0.25">
      <c r="A32">
        <v>31</v>
      </c>
      <c r="B32" t="s">
        <v>50</v>
      </c>
      <c r="C32" t="s">
        <v>19</v>
      </c>
      <c r="D32" t="s">
        <v>12</v>
      </c>
      <c r="E32" t="s">
        <v>13</v>
      </c>
      <c r="F32">
        <v>-1</v>
      </c>
      <c r="G32">
        <v>1500</v>
      </c>
      <c r="H32">
        <v>-1500</v>
      </c>
    </row>
    <row r="33" spans="1:8" x14ac:dyDescent="0.25">
      <c r="A33">
        <v>32</v>
      </c>
      <c r="B33" t="s">
        <v>51</v>
      </c>
      <c r="C33" t="s">
        <v>23</v>
      </c>
      <c r="D33" t="s">
        <v>26</v>
      </c>
      <c r="E33" t="s">
        <v>21</v>
      </c>
      <c r="F33">
        <v>3</v>
      </c>
      <c r="G33">
        <v>1500</v>
      </c>
      <c r="H33">
        <v>4521</v>
      </c>
    </row>
    <row r="34" spans="1:8" x14ac:dyDescent="0.25">
      <c r="A34">
        <v>33</v>
      </c>
      <c r="B34" t="s">
        <v>52</v>
      </c>
      <c r="C34" t="s">
        <v>23</v>
      </c>
      <c r="D34" t="s">
        <v>20</v>
      </c>
      <c r="E34" t="s">
        <v>17</v>
      </c>
      <c r="F34">
        <v>-1</v>
      </c>
      <c r="G34">
        <v>1500</v>
      </c>
      <c r="H34">
        <v>-1500</v>
      </c>
    </row>
    <row r="35" spans="1:8" x14ac:dyDescent="0.25">
      <c r="A35">
        <v>34</v>
      </c>
      <c r="B35" t="s">
        <v>53</v>
      </c>
      <c r="C35" t="s">
        <v>9</v>
      </c>
      <c r="D35" t="s">
        <v>16</v>
      </c>
      <c r="E35" t="s">
        <v>21</v>
      </c>
      <c r="F35">
        <v>-3</v>
      </c>
      <c r="G35">
        <v>50</v>
      </c>
      <c r="H35">
        <v>-57</v>
      </c>
    </row>
    <row r="36" spans="1:8" x14ac:dyDescent="0.25">
      <c r="A36">
        <v>35</v>
      </c>
      <c r="B36" t="s">
        <v>54</v>
      </c>
      <c r="C36" t="s">
        <v>15</v>
      </c>
      <c r="D36" t="s">
        <v>26</v>
      </c>
      <c r="E36" t="s">
        <v>28</v>
      </c>
      <c r="F36">
        <v>-1</v>
      </c>
      <c r="G36">
        <v>80</v>
      </c>
      <c r="H36">
        <v>-80</v>
      </c>
    </row>
    <row r="37" spans="1:8" x14ac:dyDescent="0.25">
      <c r="A37">
        <v>36</v>
      </c>
      <c r="B37" t="s">
        <v>55</v>
      </c>
      <c r="C37" t="s">
        <v>9</v>
      </c>
      <c r="D37" t="s">
        <v>12</v>
      </c>
      <c r="F37">
        <v>2</v>
      </c>
      <c r="G37">
        <v>50</v>
      </c>
      <c r="H37">
        <v>100</v>
      </c>
    </row>
    <row r="38" spans="1:8" x14ac:dyDescent="0.25">
      <c r="A38">
        <v>37</v>
      </c>
      <c r="B38" t="s">
        <v>56</v>
      </c>
      <c r="D38" t="s">
        <v>26</v>
      </c>
      <c r="F38">
        <v>-2</v>
      </c>
      <c r="G38">
        <v>1500</v>
      </c>
      <c r="H38">
        <v>-3000</v>
      </c>
    </row>
    <row r="39" spans="1:8" x14ac:dyDescent="0.25">
      <c r="A39">
        <v>38</v>
      </c>
      <c r="B39" t="s">
        <v>57</v>
      </c>
      <c r="C39" t="s">
        <v>15</v>
      </c>
      <c r="D39" t="s">
        <v>26</v>
      </c>
      <c r="F39">
        <v>0</v>
      </c>
      <c r="G39">
        <v>80</v>
      </c>
      <c r="H39">
        <v>16</v>
      </c>
    </row>
    <row r="40" spans="1:8" x14ac:dyDescent="0.25">
      <c r="A40">
        <v>39</v>
      </c>
      <c r="B40" t="s">
        <v>58</v>
      </c>
      <c r="D40" t="s">
        <v>16</v>
      </c>
      <c r="E40" t="s">
        <v>13</v>
      </c>
      <c r="F40">
        <v>-3</v>
      </c>
      <c r="G40">
        <v>80</v>
      </c>
      <c r="H40">
        <v>-240</v>
      </c>
    </row>
    <row r="41" spans="1:8" x14ac:dyDescent="0.25">
      <c r="A41">
        <v>40</v>
      </c>
      <c r="B41" t="s">
        <v>59</v>
      </c>
      <c r="C41" t="s">
        <v>19</v>
      </c>
      <c r="D41" t="s">
        <v>12</v>
      </c>
      <c r="F41">
        <v>2</v>
      </c>
      <c r="G41">
        <v>1500</v>
      </c>
      <c r="H41">
        <v>3000</v>
      </c>
    </row>
    <row r="42" spans="1:8" x14ac:dyDescent="0.25">
      <c r="A42">
        <v>41</v>
      </c>
      <c r="B42" t="s">
        <v>38</v>
      </c>
      <c r="C42" t="s">
        <v>23</v>
      </c>
      <c r="D42" t="s">
        <v>20</v>
      </c>
      <c r="F42">
        <v>2</v>
      </c>
      <c r="G42">
        <v>50</v>
      </c>
      <c r="H42">
        <v>100</v>
      </c>
    </row>
    <row r="43" spans="1:8" x14ac:dyDescent="0.25">
      <c r="A43">
        <v>42</v>
      </c>
      <c r="B43" t="s">
        <v>60</v>
      </c>
      <c r="C43" t="s">
        <v>19</v>
      </c>
      <c r="D43" t="s">
        <v>20</v>
      </c>
      <c r="E43" t="s">
        <v>13</v>
      </c>
      <c r="F43">
        <v>0</v>
      </c>
      <c r="G43">
        <v>80</v>
      </c>
      <c r="H43">
        <v>0</v>
      </c>
    </row>
    <row r="44" spans="1:8" x14ac:dyDescent="0.25">
      <c r="A44">
        <v>43</v>
      </c>
      <c r="B44" t="s">
        <v>43</v>
      </c>
      <c r="C44" t="s">
        <v>23</v>
      </c>
      <c r="D44" t="s">
        <v>20</v>
      </c>
      <c r="E44" t="s">
        <v>28</v>
      </c>
      <c r="F44">
        <v>-1</v>
      </c>
      <c r="G44">
        <v>80</v>
      </c>
      <c r="H44">
        <v>-80</v>
      </c>
    </row>
    <row r="45" spans="1:8" x14ac:dyDescent="0.25">
      <c r="A45">
        <v>44</v>
      </c>
      <c r="B45" t="s">
        <v>61</v>
      </c>
      <c r="C45" t="s">
        <v>23</v>
      </c>
      <c r="D45" t="s">
        <v>10</v>
      </c>
      <c r="E45" t="s">
        <v>21</v>
      </c>
      <c r="F45">
        <v>0</v>
      </c>
      <c r="G45">
        <v>80</v>
      </c>
      <c r="H45">
        <v>85</v>
      </c>
    </row>
    <row r="46" spans="1:8" x14ac:dyDescent="0.25">
      <c r="A46">
        <v>45</v>
      </c>
      <c r="B46" t="s">
        <v>62</v>
      </c>
      <c r="C46" t="s">
        <v>23</v>
      </c>
      <c r="D46" t="s">
        <v>12</v>
      </c>
      <c r="E46" t="s">
        <v>21</v>
      </c>
      <c r="F46">
        <v>-1</v>
      </c>
      <c r="G46">
        <v>1500</v>
      </c>
      <c r="H46">
        <v>-1500</v>
      </c>
    </row>
    <row r="47" spans="1:8" x14ac:dyDescent="0.25">
      <c r="A47">
        <v>46</v>
      </c>
      <c r="B47" t="s">
        <v>62</v>
      </c>
      <c r="C47" t="s">
        <v>23</v>
      </c>
      <c r="D47" t="s">
        <v>16</v>
      </c>
      <c r="E47" t="s">
        <v>28</v>
      </c>
      <c r="F47">
        <v>2</v>
      </c>
      <c r="G47">
        <v>700</v>
      </c>
      <c r="H47">
        <v>1463</v>
      </c>
    </row>
    <row r="48" spans="1:8" x14ac:dyDescent="0.25">
      <c r="A48">
        <v>47</v>
      </c>
      <c r="B48" t="s">
        <v>63</v>
      </c>
      <c r="C48" t="s">
        <v>23</v>
      </c>
      <c r="D48" t="s">
        <v>20</v>
      </c>
      <c r="E48" t="s">
        <v>21</v>
      </c>
      <c r="F48">
        <v>4</v>
      </c>
      <c r="G48">
        <v>1500</v>
      </c>
      <c r="H48">
        <v>6000</v>
      </c>
    </row>
    <row r="49" spans="1:8" x14ac:dyDescent="0.25">
      <c r="A49">
        <v>48</v>
      </c>
      <c r="B49" t="s">
        <v>64</v>
      </c>
      <c r="C49" t="s">
        <v>9</v>
      </c>
      <c r="D49" t="s">
        <v>12</v>
      </c>
      <c r="F49">
        <v>0</v>
      </c>
      <c r="G49">
        <v>50</v>
      </c>
      <c r="H49">
        <v>0</v>
      </c>
    </row>
    <row r="50" spans="1:8" x14ac:dyDescent="0.25">
      <c r="A50">
        <v>49</v>
      </c>
      <c r="B50" t="s">
        <v>65</v>
      </c>
      <c r="C50" t="s">
        <v>23</v>
      </c>
      <c r="D50" t="s">
        <v>10</v>
      </c>
      <c r="E50" t="s">
        <v>28</v>
      </c>
      <c r="F50">
        <v>0</v>
      </c>
      <c r="G50">
        <v>1500</v>
      </c>
      <c r="H50">
        <v>0</v>
      </c>
    </row>
    <row r="51" spans="1:8" x14ac:dyDescent="0.25">
      <c r="A51">
        <v>50</v>
      </c>
      <c r="B51" t="s">
        <v>66</v>
      </c>
      <c r="D51" t="s">
        <v>20</v>
      </c>
      <c r="F51">
        <v>2</v>
      </c>
      <c r="G51">
        <v>1500</v>
      </c>
      <c r="H51">
        <v>3067</v>
      </c>
    </row>
    <row r="52" spans="1:8" x14ac:dyDescent="0.25">
      <c r="A52">
        <v>51</v>
      </c>
      <c r="B52" t="s">
        <v>67</v>
      </c>
      <c r="C52" t="s">
        <v>9</v>
      </c>
      <c r="D52" t="s">
        <v>20</v>
      </c>
      <c r="E52" t="s">
        <v>21</v>
      </c>
      <c r="F52">
        <v>1</v>
      </c>
      <c r="G52">
        <v>700</v>
      </c>
      <c r="H52">
        <v>714</v>
      </c>
    </row>
    <row r="53" spans="1:8" x14ac:dyDescent="0.25">
      <c r="A53">
        <v>52</v>
      </c>
      <c r="B53" t="s">
        <v>68</v>
      </c>
      <c r="C53" t="s">
        <v>23</v>
      </c>
      <c r="D53" t="s">
        <v>12</v>
      </c>
      <c r="E53" t="s">
        <v>21</v>
      </c>
      <c r="F53">
        <v>0</v>
      </c>
      <c r="G53">
        <v>700</v>
      </c>
      <c r="H53">
        <v>18</v>
      </c>
    </row>
    <row r="54" spans="1:8" x14ac:dyDescent="0.25">
      <c r="A54">
        <v>53</v>
      </c>
      <c r="B54" t="s">
        <v>69</v>
      </c>
      <c r="C54" t="s">
        <v>15</v>
      </c>
      <c r="D54" t="s">
        <v>16</v>
      </c>
      <c r="E54" t="s">
        <v>13</v>
      </c>
      <c r="F54">
        <v>-2</v>
      </c>
      <c r="G54">
        <v>80</v>
      </c>
      <c r="H54">
        <v>-160</v>
      </c>
    </row>
    <row r="55" spans="1:8" x14ac:dyDescent="0.25">
      <c r="A55">
        <v>54</v>
      </c>
      <c r="B55" t="s">
        <v>11</v>
      </c>
      <c r="C55" t="s">
        <v>9</v>
      </c>
      <c r="D55" t="s">
        <v>10</v>
      </c>
      <c r="E55" t="s">
        <v>28</v>
      </c>
      <c r="F55">
        <v>0</v>
      </c>
      <c r="G55">
        <v>50</v>
      </c>
      <c r="H55">
        <v>82</v>
      </c>
    </row>
    <row r="56" spans="1:8" x14ac:dyDescent="0.25">
      <c r="A56">
        <v>55</v>
      </c>
      <c r="B56" t="s">
        <v>70</v>
      </c>
      <c r="C56" t="s">
        <v>9</v>
      </c>
      <c r="D56" t="s">
        <v>10</v>
      </c>
      <c r="E56" t="s">
        <v>17</v>
      </c>
      <c r="F56">
        <v>-3</v>
      </c>
      <c r="G56">
        <v>50</v>
      </c>
      <c r="H56">
        <v>-150</v>
      </c>
    </row>
    <row r="57" spans="1:8" x14ac:dyDescent="0.25">
      <c r="A57">
        <v>56</v>
      </c>
      <c r="B57" t="s">
        <v>45</v>
      </c>
      <c r="C57" t="s">
        <v>23</v>
      </c>
      <c r="D57" t="s">
        <v>16</v>
      </c>
      <c r="F57">
        <v>0</v>
      </c>
      <c r="G57">
        <v>80</v>
      </c>
      <c r="H57">
        <v>0</v>
      </c>
    </row>
    <row r="58" spans="1:8" x14ac:dyDescent="0.25">
      <c r="A58">
        <v>57</v>
      </c>
      <c r="B58" t="s">
        <v>53</v>
      </c>
      <c r="C58" t="s">
        <v>15</v>
      </c>
      <c r="D58" t="s">
        <v>12</v>
      </c>
      <c r="E58" t="s">
        <v>21</v>
      </c>
      <c r="F58">
        <v>-3</v>
      </c>
      <c r="G58">
        <v>700</v>
      </c>
      <c r="H58">
        <v>-2100</v>
      </c>
    </row>
    <row r="59" spans="1:8" x14ac:dyDescent="0.25">
      <c r="A59">
        <v>58</v>
      </c>
      <c r="B59" t="s">
        <v>71</v>
      </c>
      <c r="C59" t="s">
        <v>23</v>
      </c>
      <c r="D59" t="s">
        <v>26</v>
      </c>
      <c r="E59" t="s">
        <v>17</v>
      </c>
      <c r="F59">
        <v>0</v>
      </c>
      <c r="G59">
        <v>50</v>
      </c>
      <c r="H59">
        <v>0</v>
      </c>
    </row>
    <row r="60" spans="1:8" x14ac:dyDescent="0.25">
      <c r="A60">
        <v>59</v>
      </c>
      <c r="B60" t="s">
        <v>72</v>
      </c>
      <c r="D60" t="s">
        <v>12</v>
      </c>
      <c r="F60">
        <v>-3</v>
      </c>
      <c r="G60">
        <v>700</v>
      </c>
      <c r="H60">
        <v>-2100</v>
      </c>
    </row>
    <row r="61" spans="1:8" x14ac:dyDescent="0.25">
      <c r="A61">
        <v>60</v>
      </c>
      <c r="B61" t="s">
        <v>73</v>
      </c>
      <c r="D61" t="s">
        <v>20</v>
      </c>
      <c r="E61" t="s">
        <v>28</v>
      </c>
      <c r="F61">
        <v>-3</v>
      </c>
      <c r="G61">
        <v>80</v>
      </c>
      <c r="H61">
        <v>-240</v>
      </c>
    </row>
    <row r="62" spans="1:8" x14ac:dyDescent="0.25">
      <c r="A62">
        <v>61</v>
      </c>
      <c r="B62" t="s">
        <v>74</v>
      </c>
      <c r="C62" t="s">
        <v>9</v>
      </c>
      <c r="D62" t="s">
        <v>10</v>
      </c>
      <c r="F62">
        <v>-3</v>
      </c>
      <c r="G62">
        <v>1500</v>
      </c>
      <c r="H62">
        <v>-4500</v>
      </c>
    </row>
    <row r="63" spans="1:8" x14ac:dyDescent="0.25">
      <c r="A63">
        <v>62</v>
      </c>
      <c r="B63" t="s">
        <v>75</v>
      </c>
      <c r="D63" t="s">
        <v>20</v>
      </c>
      <c r="E63" t="s">
        <v>17</v>
      </c>
      <c r="F63">
        <v>-1</v>
      </c>
      <c r="G63">
        <v>1500</v>
      </c>
      <c r="H63">
        <v>-1440</v>
      </c>
    </row>
    <row r="64" spans="1:8" x14ac:dyDescent="0.25">
      <c r="A64">
        <v>63</v>
      </c>
      <c r="B64" t="s">
        <v>76</v>
      </c>
      <c r="C64" t="s">
        <v>19</v>
      </c>
      <c r="D64" t="s">
        <v>12</v>
      </c>
      <c r="E64" t="s">
        <v>28</v>
      </c>
      <c r="F64">
        <v>-2</v>
      </c>
      <c r="G64">
        <v>700</v>
      </c>
      <c r="H64">
        <v>-1400</v>
      </c>
    </row>
    <row r="65" spans="1:8" x14ac:dyDescent="0.25">
      <c r="A65">
        <v>64</v>
      </c>
      <c r="B65" t="s">
        <v>77</v>
      </c>
      <c r="C65" t="s">
        <v>23</v>
      </c>
      <c r="D65" t="s">
        <v>10</v>
      </c>
      <c r="E65" t="s">
        <v>17</v>
      </c>
      <c r="F65">
        <v>0</v>
      </c>
      <c r="G65">
        <v>1500</v>
      </c>
      <c r="H65">
        <v>41</v>
      </c>
    </row>
    <row r="66" spans="1:8" x14ac:dyDescent="0.25">
      <c r="A66">
        <v>65</v>
      </c>
      <c r="B66" t="s">
        <v>78</v>
      </c>
      <c r="C66" t="s">
        <v>9</v>
      </c>
      <c r="D66" t="s">
        <v>10</v>
      </c>
      <c r="E66" t="s">
        <v>13</v>
      </c>
      <c r="F66">
        <v>1</v>
      </c>
      <c r="G66">
        <v>50</v>
      </c>
      <c r="H66">
        <v>145</v>
      </c>
    </row>
    <row r="67" spans="1:8" x14ac:dyDescent="0.25">
      <c r="A67">
        <v>66</v>
      </c>
      <c r="B67" t="s">
        <v>79</v>
      </c>
      <c r="C67" t="s">
        <v>23</v>
      </c>
      <c r="D67" t="s">
        <v>12</v>
      </c>
      <c r="E67" t="s">
        <v>28</v>
      </c>
      <c r="F67">
        <v>-1</v>
      </c>
      <c r="G67">
        <v>1500</v>
      </c>
      <c r="H67">
        <v>-1500</v>
      </c>
    </row>
    <row r="68" spans="1:8" x14ac:dyDescent="0.25">
      <c r="A68">
        <v>67</v>
      </c>
      <c r="B68" t="s">
        <v>80</v>
      </c>
      <c r="C68" t="s">
        <v>9</v>
      </c>
      <c r="D68" t="s">
        <v>26</v>
      </c>
      <c r="F68">
        <v>0</v>
      </c>
      <c r="G68">
        <v>50</v>
      </c>
      <c r="H68">
        <v>0</v>
      </c>
    </row>
    <row r="69" spans="1:8" x14ac:dyDescent="0.25">
      <c r="A69">
        <v>68</v>
      </c>
      <c r="B69" t="s">
        <v>81</v>
      </c>
      <c r="D69" t="s">
        <v>12</v>
      </c>
      <c r="E69" t="s">
        <v>17</v>
      </c>
      <c r="F69">
        <v>-1</v>
      </c>
      <c r="G69">
        <v>80</v>
      </c>
      <c r="H69">
        <v>-80</v>
      </c>
    </row>
    <row r="70" spans="1:8" x14ac:dyDescent="0.25">
      <c r="A70">
        <v>69</v>
      </c>
      <c r="B70" t="s">
        <v>64</v>
      </c>
      <c r="C70" t="s">
        <v>23</v>
      </c>
      <c r="D70" t="s">
        <v>20</v>
      </c>
      <c r="E70" t="s">
        <v>21</v>
      </c>
      <c r="F70">
        <v>2</v>
      </c>
      <c r="G70">
        <v>1500</v>
      </c>
      <c r="H70">
        <v>3000</v>
      </c>
    </row>
    <row r="71" spans="1:8" x14ac:dyDescent="0.25">
      <c r="A71">
        <v>70</v>
      </c>
      <c r="B71" t="s">
        <v>57</v>
      </c>
      <c r="C71" t="s">
        <v>9</v>
      </c>
      <c r="D71" t="s">
        <v>10</v>
      </c>
      <c r="F71">
        <v>0</v>
      </c>
      <c r="G71">
        <v>50</v>
      </c>
      <c r="H71">
        <v>0</v>
      </c>
    </row>
    <row r="72" spans="1:8" x14ac:dyDescent="0.25">
      <c r="A72">
        <v>71</v>
      </c>
      <c r="B72" t="s">
        <v>82</v>
      </c>
      <c r="D72" t="s">
        <v>26</v>
      </c>
      <c r="E72" t="s">
        <v>21</v>
      </c>
      <c r="F72">
        <v>-1</v>
      </c>
      <c r="G72">
        <v>50</v>
      </c>
      <c r="H72">
        <v>-22</v>
      </c>
    </row>
    <row r="73" spans="1:8" x14ac:dyDescent="0.25">
      <c r="A73">
        <v>72</v>
      </c>
      <c r="B73" t="s">
        <v>83</v>
      </c>
      <c r="D73" t="s">
        <v>16</v>
      </c>
      <c r="F73">
        <v>0</v>
      </c>
      <c r="G73">
        <v>80</v>
      </c>
      <c r="H73">
        <v>11</v>
      </c>
    </row>
    <row r="74" spans="1:8" x14ac:dyDescent="0.25">
      <c r="A74">
        <v>73</v>
      </c>
      <c r="B74" t="s">
        <v>84</v>
      </c>
      <c r="C74" t="s">
        <v>19</v>
      </c>
      <c r="D74" t="s">
        <v>12</v>
      </c>
      <c r="E74" t="s">
        <v>28</v>
      </c>
      <c r="F74">
        <v>5</v>
      </c>
      <c r="G74">
        <v>1500</v>
      </c>
      <c r="H74">
        <v>7500</v>
      </c>
    </row>
    <row r="75" spans="1:8" x14ac:dyDescent="0.25">
      <c r="A75">
        <v>74</v>
      </c>
      <c r="B75" t="s">
        <v>85</v>
      </c>
      <c r="C75" t="s">
        <v>15</v>
      </c>
      <c r="D75" t="s">
        <v>26</v>
      </c>
      <c r="E75" t="s">
        <v>28</v>
      </c>
      <c r="F75">
        <v>0</v>
      </c>
      <c r="G75">
        <v>700</v>
      </c>
      <c r="H75">
        <v>78</v>
      </c>
    </row>
    <row r="76" spans="1:8" x14ac:dyDescent="0.25">
      <c r="A76">
        <v>75</v>
      </c>
      <c r="B76" t="s">
        <v>86</v>
      </c>
      <c r="D76" t="s">
        <v>20</v>
      </c>
      <c r="E76" t="s">
        <v>13</v>
      </c>
      <c r="F76">
        <v>-1</v>
      </c>
      <c r="G76">
        <v>80</v>
      </c>
      <c r="H76">
        <v>-80</v>
      </c>
    </row>
    <row r="77" spans="1:8" x14ac:dyDescent="0.25">
      <c r="A77">
        <v>76</v>
      </c>
      <c r="B77" t="s">
        <v>87</v>
      </c>
      <c r="C77" t="s">
        <v>15</v>
      </c>
      <c r="D77" t="s">
        <v>26</v>
      </c>
      <c r="E77" t="s">
        <v>28</v>
      </c>
      <c r="F77">
        <v>-3</v>
      </c>
      <c r="G77">
        <v>700</v>
      </c>
      <c r="H77">
        <v>-2100</v>
      </c>
    </row>
    <row r="78" spans="1:8" x14ac:dyDescent="0.25">
      <c r="A78">
        <v>77</v>
      </c>
      <c r="B78" t="s">
        <v>78</v>
      </c>
      <c r="C78" t="s">
        <v>15</v>
      </c>
      <c r="D78" t="s">
        <v>16</v>
      </c>
      <c r="F78">
        <v>0</v>
      </c>
      <c r="G78">
        <v>1500</v>
      </c>
      <c r="H78">
        <v>0</v>
      </c>
    </row>
    <row r="79" spans="1:8" x14ac:dyDescent="0.25">
      <c r="A79">
        <v>78</v>
      </c>
      <c r="B79" t="s">
        <v>88</v>
      </c>
      <c r="D79" t="s">
        <v>12</v>
      </c>
      <c r="E79" t="s">
        <v>17</v>
      </c>
      <c r="F79">
        <v>-2</v>
      </c>
      <c r="G79">
        <v>50</v>
      </c>
      <c r="H79">
        <v>-100</v>
      </c>
    </row>
    <row r="80" spans="1:8" x14ac:dyDescent="0.25">
      <c r="A80">
        <v>79</v>
      </c>
      <c r="B80" t="s">
        <v>89</v>
      </c>
      <c r="C80" t="s">
        <v>15</v>
      </c>
      <c r="D80" t="s">
        <v>16</v>
      </c>
      <c r="E80" t="s">
        <v>28</v>
      </c>
      <c r="F80">
        <v>2</v>
      </c>
      <c r="G80">
        <v>1500</v>
      </c>
      <c r="H80">
        <v>3068</v>
      </c>
    </row>
    <row r="81" spans="1:8" x14ac:dyDescent="0.25">
      <c r="A81">
        <v>80</v>
      </c>
      <c r="B81" t="s">
        <v>90</v>
      </c>
      <c r="C81" t="s">
        <v>23</v>
      </c>
      <c r="D81" t="s">
        <v>10</v>
      </c>
      <c r="E81" t="s">
        <v>21</v>
      </c>
      <c r="F81">
        <v>0</v>
      </c>
      <c r="G81">
        <v>700</v>
      </c>
      <c r="H81">
        <v>39</v>
      </c>
    </row>
    <row r="82" spans="1:8" x14ac:dyDescent="0.25">
      <c r="A82">
        <v>81</v>
      </c>
      <c r="B82" t="s">
        <v>91</v>
      </c>
      <c r="C82" t="s">
        <v>9</v>
      </c>
      <c r="D82" t="s">
        <v>10</v>
      </c>
      <c r="F82">
        <v>5</v>
      </c>
      <c r="G82">
        <v>700</v>
      </c>
      <c r="H82">
        <v>3500</v>
      </c>
    </row>
    <row r="83" spans="1:8" x14ac:dyDescent="0.25">
      <c r="A83">
        <v>82</v>
      </c>
      <c r="B83" t="s">
        <v>92</v>
      </c>
      <c r="C83" t="s">
        <v>9</v>
      </c>
      <c r="D83" t="s">
        <v>16</v>
      </c>
      <c r="E83" t="s">
        <v>13</v>
      </c>
      <c r="F83">
        <v>0</v>
      </c>
      <c r="G83">
        <v>1500</v>
      </c>
      <c r="H83">
        <v>0</v>
      </c>
    </row>
    <row r="84" spans="1:8" x14ac:dyDescent="0.25">
      <c r="A84">
        <v>83</v>
      </c>
      <c r="B84" t="s">
        <v>93</v>
      </c>
      <c r="C84" t="s">
        <v>23</v>
      </c>
      <c r="D84" t="s">
        <v>10</v>
      </c>
      <c r="E84" t="s">
        <v>17</v>
      </c>
      <c r="F84">
        <v>0</v>
      </c>
      <c r="G84">
        <v>1500</v>
      </c>
      <c r="H84">
        <v>0</v>
      </c>
    </row>
    <row r="85" spans="1:8" x14ac:dyDescent="0.25">
      <c r="A85">
        <v>84</v>
      </c>
      <c r="B85" t="s">
        <v>94</v>
      </c>
      <c r="C85" t="s">
        <v>9</v>
      </c>
      <c r="D85" t="s">
        <v>26</v>
      </c>
      <c r="E85" t="s">
        <v>21</v>
      </c>
      <c r="F85">
        <v>-1</v>
      </c>
      <c r="G85">
        <v>700</v>
      </c>
      <c r="H85">
        <v>-700</v>
      </c>
    </row>
    <row r="86" spans="1:8" x14ac:dyDescent="0.25">
      <c r="A86">
        <v>85</v>
      </c>
      <c r="B86" t="s">
        <v>95</v>
      </c>
      <c r="C86" t="s">
        <v>19</v>
      </c>
      <c r="D86" t="s">
        <v>26</v>
      </c>
      <c r="E86" t="s">
        <v>17</v>
      </c>
      <c r="F86">
        <v>0</v>
      </c>
      <c r="G86">
        <v>1500</v>
      </c>
      <c r="H86">
        <v>0</v>
      </c>
    </row>
    <row r="87" spans="1:8" x14ac:dyDescent="0.25">
      <c r="A87">
        <v>86</v>
      </c>
      <c r="B87" t="s">
        <v>69</v>
      </c>
      <c r="C87" t="s">
        <v>23</v>
      </c>
      <c r="D87" t="s">
        <v>26</v>
      </c>
      <c r="F87">
        <v>1</v>
      </c>
      <c r="G87">
        <v>50</v>
      </c>
      <c r="H87">
        <v>50</v>
      </c>
    </row>
    <row r="88" spans="1:8" x14ac:dyDescent="0.25">
      <c r="A88">
        <v>87</v>
      </c>
      <c r="B88" t="s">
        <v>40</v>
      </c>
      <c r="C88" t="s">
        <v>15</v>
      </c>
      <c r="D88" t="s">
        <v>20</v>
      </c>
      <c r="E88" t="s">
        <v>21</v>
      </c>
      <c r="F88">
        <v>-1</v>
      </c>
      <c r="G88">
        <v>80</v>
      </c>
      <c r="H88">
        <v>-80</v>
      </c>
    </row>
    <row r="89" spans="1:8" x14ac:dyDescent="0.25">
      <c r="A89">
        <v>88</v>
      </c>
      <c r="B89" t="s">
        <v>96</v>
      </c>
      <c r="C89" t="s">
        <v>15</v>
      </c>
      <c r="D89" t="s">
        <v>12</v>
      </c>
      <c r="E89" t="s">
        <v>28</v>
      </c>
      <c r="F89">
        <v>3</v>
      </c>
      <c r="G89">
        <v>80</v>
      </c>
      <c r="H89">
        <v>240</v>
      </c>
    </row>
    <row r="90" spans="1:8" x14ac:dyDescent="0.25">
      <c r="A90">
        <v>89</v>
      </c>
      <c r="B90" t="s">
        <v>97</v>
      </c>
      <c r="C90" t="s">
        <v>15</v>
      </c>
      <c r="D90" t="s">
        <v>26</v>
      </c>
      <c r="F90">
        <v>2</v>
      </c>
      <c r="G90">
        <v>80</v>
      </c>
      <c r="H90">
        <v>160</v>
      </c>
    </row>
    <row r="91" spans="1:8" x14ac:dyDescent="0.25">
      <c r="A91">
        <v>90</v>
      </c>
      <c r="B91" t="s">
        <v>98</v>
      </c>
      <c r="C91" t="s">
        <v>19</v>
      </c>
      <c r="D91" t="s">
        <v>10</v>
      </c>
      <c r="E91" t="s">
        <v>13</v>
      </c>
      <c r="F91">
        <v>3</v>
      </c>
      <c r="G91">
        <v>700</v>
      </c>
      <c r="H91">
        <v>2100</v>
      </c>
    </row>
    <row r="92" spans="1:8" x14ac:dyDescent="0.25">
      <c r="A92">
        <v>91</v>
      </c>
      <c r="B92" t="s">
        <v>99</v>
      </c>
      <c r="C92" t="s">
        <v>23</v>
      </c>
      <c r="D92" t="s">
        <v>26</v>
      </c>
      <c r="E92" t="s">
        <v>17</v>
      </c>
      <c r="F92">
        <v>3</v>
      </c>
      <c r="G92">
        <v>700</v>
      </c>
      <c r="H92">
        <v>2100</v>
      </c>
    </row>
    <row r="93" spans="1:8" x14ac:dyDescent="0.25">
      <c r="A93">
        <v>92</v>
      </c>
      <c r="B93" t="s">
        <v>100</v>
      </c>
      <c r="C93" t="s">
        <v>23</v>
      </c>
      <c r="D93" t="s">
        <v>26</v>
      </c>
      <c r="E93" t="s">
        <v>21</v>
      </c>
      <c r="F93">
        <v>-3</v>
      </c>
      <c r="G93">
        <v>80</v>
      </c>
      <c r="H93">
        <v>-240</v>
      </c>
    </row>
    <row r="94" spans="1:8" x14ac:dyDescent="0.25">
      <c r="A94">
        <v>93</v>
      </c>
      <c r="B94" t="s">
        <v>101</v>
      </c>
      <c r="C94" t="s">
        <v>9</v>
      </c>
      <c r="D94" t="s">
        <v>16</v>
      </c>
      <c r="E94" t="s">
        <v>21</v>
      </c>
      <c r="F94">
        <v>2</v>
      </c>
      <c r="G94">
        <v>80</v>
      </c>
      <c r="H94">
        <v>160</v>
      </c>
    </row>
    <row r="95" spans="1:8" x14ac:dyDescent="0.25">
      <c r="A95">
        <v>94</v>
      </c>
      <c r="B95" t="s">
        <v>102</v>
      </c>
      <c r="D95" t="s">
        <v>20</v>
      </c>
      <c r="E95" t="s">
        <v>13</v>
      </c>
      <c r="F95">
        <v>-1</v>
      </c>
      <c r="G95">
        <v>80</v>
      </c>
      <c r="H95">
        <v>-80</v>
      </c>
    </row>
    <row r="96" spans="1:8" x14ac:dyDescent="0.25">
      <c r="A96">
        <v>95</v>
      </c>
      <c r="B96" t="s">
        <v>103</v>
      </c>
      <c r="C96" t="s">
        <v>19</v>
      </c>
      <c r="D96" t="s">
        <v>12</v>
      </c>
      <c r="E96" t="s">
        <v>13</v>
      </c>
      <c r="F96">
        <v>1</v>
      </c>
      <c r="G96">
        <v>1500</v>
      </c>
      <c r="H96">
        <v>1500</v>
      </c>
    </row>
    <row r="97" spans="1:8" x14ac:dyDescent="0.25">
      <c r="A97">
        <v>96</v>
      </c>
      <c r="B97" t="s">
        <v>48</v>
      </c>
      <c r="C97" t="s">
        <v>9</v>
      </c>
      <c r="D97" t="s">
        <v>20</v>
      </c>
      <c r="E97" t="s">
        <v>13</v>
      </c>
      <c r="F97">
        <v>4</v>
      </c>
      <c r="G97">
        <v>80</v>
      </c>
      <c r="H97">
        <v>419</v>
      </c>
    </row>
    <row r="98" spans="1:8" x14ac:dyDescent="0.25">
      <c r="A98">
        <v>97</v>
      </c>
      <c r="B98" t="s">
        <v>104</v>
      </c>
      <c r="D98" t="s">
        <v>26</v>
      </c>
      <c r="F98">
        <v>-3</v>
      </c>
      <c r="G98">
        <v>1500</v>
      </c>
      <c r="H98">
        <v>-4500</v>
      </c>
    </row>
    <row r="99" spans="1:8" x14ac:dyDescent="0.25">
      <c r="A99">
        <v>98</v>
      </c>
      <c r="B99" t="s">
        <v>105</v>
      </c>
      <c r="C99" t="s">
        <v>19</v>
      </c>
      <c r="D99" t="s">
        <v>12</v>
      </c>
      <c r="E99" t="s">
        <v>21</v>
      </c>
      <c r="F99">
        <v>0</v>
      </c>
      <c r="G99">
        <v>700</v>
      </c>
      <c r="H99">
        <v>85</v>
      </c>
    </row>
    <row r="100" spans="1:8" x14ac:dyDescent="0.25">
      <c r="A100">
        <v>99</v>
      </c>
      <c r="B100" t="s">
        <v>106</v>
      </c>
      <c r="C100" t="s">
        <v>15</v>
      </c>
      <c r="D100" t="s">
        <v>12</v>
      </c>
      <c r="E100" t="s">
        <v>21</v>
      </c>
      <c r="F100">
        <v>3</v>
      </c>
      <c r="G100">
        <v>50</v>
      </c>
      <c r="H100">
        <v>150</v>
      </c>
    </row>
    <row r="101" spans="1:8" x14ac:dyDescent="0.25">
      <c r="A101">
        <v>100</v>
      </c>
      <c r="B101" t="s">
        <v>107</v>
      </c>
      <c r="C101" t="s">
        <v>19</v>
      </c>
      <c r="D101" t="s">
        <v>16</v>
      </c>
      <c r="E101" t="s">
        <v>17</v>
      </c>
      <c r="F101">
        <v>-2</v>
      </c>
      <c r="G101">
        <v>50</v>
      </c>
      <c r="H101">
        <v>-100</v>
      </c>
    </row>
    <row r="102" spans="1:8" x14ac:dyDescent="0.25">
      <c r="A102">
        <v>101</v>
      </c>
      <c r="B102" t="s">
        <v>108</v>
      </c>
      <c r="D102" t="s">
        <v>20</v>
      </c>
      <c r="E102" t="s">
        <v>13</v>
      </c>
      <c r="F102">
        <v>-2</v>
      </c>
      <c r="G102">
        <v>1500</v>
      </c>
      <c r="H102">
        <v>-3000</v>
      </c>
    </row>
    <row r="103" spans="1:8" x14ac:dyDescent="0.25">
      <c r="A103">
        <v>102</v>
      </c>
      <c r="B103" t="s">
        <v>85</v>
      </c>
      <c r="C103" t="s">
        <v>9</v>
      </c>
      <c r="D103" t="s">
        <v>26</v>
      </c>
      <c r="E103" t="s">
        <v>28</v>
      </c>
      <c r="F103">
        <v>-1</v>
      </c>
      <c r="G103">
        <v>700</v>
      </c>
      <c r="H103">
        <v>-700</v>
      </c>
    </row>
    <row r="104" spans="1:8" x14ac:dyDescent="0.25">
      <c r="A104">
        <v>103</v>
      </c>
      <c r="B104" t="s">
        <v>80</v>
      </c>
      <c r="C104" t="s">
        <v>15</v>
      </c>
      <c r="D104" t="s">
        <v>16</v>
      </c>
      <c r="E104" t="s">
        <v>13</v>
      </c>
      <c r="F104">
        <v>4</v>
      </c>
      <c r="G104">
        <v>50</v>
      </c>
      <c r="H104">
        <v>215</v>
      </c>
    </row>
    <row r="105" spans="1:8" x14ac:dyDescent="0.25">
      <c r="A105">
        <v>104</v>
      </c>
      <c r="B105" t="s">
        <v>109</v>
      </c>
      <c r="C105" t="s">
        <v>23</v>
      </c>
      <c r="D105" t="s">
        <v>10</v>
      </c>
      <c r="E105" t="s">
        <v>13</v>
      </c>
      <c r="F105">
        <v>-1</v>
      </c>
      <c r="G105">
        <v>700</v>
      </c>
      <c r="H105">
        <v>-700</v>
      </c>
    </row>
    <row r="106" spans="1:8" x14ac:dyDescent="0.25">
      <c r="A106">
        <v>105</v>
      </c>
      <c r="B106" t="s">
        <v>110</v>
      </c>
      <c r="D106" t="s">
        <v>20</v>
      </c>
      <c r="E106" t="s">
        <v>28</v>
      </c>
      <c r="F106">
        <v>0</v>
      </c>
      <c r="G106">
        <v>50</v>
      </c>
      <c r="H106">
        <v>0</v>
      </c>
    </row>
    <row r="107" spans="1:8" x14ac:dyDescent="0.25">
      <c r="A107">
        <v>106</v>
      </c>
      <c r="B107" t="s">
        <v>60</v>
      </c>
      <c r="D107" t="s">
        <v>10</v>
      </c>
      <c r="E107" t="s">
        <v>21</v>
      </c>
      <c r="F107">
        <v>-3</v>
      </c>
      <c r="G107">
        <v>700</v>
      </c>
      <c r="H107">
        <v>-2100</v>
      </c>
    </row>
    <row r="108" spans="1:8" x14ac:dyDescent="0.25">
      <c r="A108">
        <v>107</v>
      </c>
      <c r="B108" t="s">
        <v>111</v>
      </c>
      <c r="C108" t="s">
        <v>19</v>
      </c>
      <c r="D108" t="s">
        <v>26</v>
      </c>
      <c r="E108" t="s">
        <v>13</v>
      </c>
      <c r="F108">
        <v>-1</v>
      </c>
      <c r="G108">
        <v>1500</v>
      </c>
      <c r="H108">
        <v>-1500</v>
      </c>
    </row>
    <row r="109" spans="1:8" x14ac:dyDescent="0.25">
      <c r="A109">
        <v>108</v>
      </c>
      <c r="B109" t="s">
        <v>112</v>
      </c>
      <c r="D109" t="s">
        <v>12</v>
      </c>
      <c r="F109">
        <v>-3</v>
      </c>
      <c r="G109">
        <v>1500</v>
      </c>
      <c r="H109">
        <v>-4500</v>
      </c>
    </row>
    <row r="110" spans="1:8" x14ac:dyDescent="0.25">
      <c r="A110">
        <v>109</v>
      </c>
      <c r="B110" t="s">
        <v>113</v>
      </c>
      <c r="C110" t="s">
        <v>9</v>
      </c>
      <c r="D110" t="s">
        <v>20</v>
      </c>
      <c r="E110" t="s">
        <v>13</v>
      </c>
      <c r="F110">
        <v>-3</v>
      </c>
      <c r="G110">
        <v>80</v>
      </c>
      <c r="H110">
        <v>-240</v>
      </c>
    </row>
    <row r="111" spans="1:8" x14ac:dyDescent="0.25">
      <c r="A111">
        <v>110</v>
      </c>
      <c r="B111" t="s">
        <v>114</v>
      </c>
      <c r="D111" t="s">
        <v>20</v>
      </c>
      <c r="E111" t="s">
        <v>17</v>
      </c>
      <c r="F111">
        <v>3</v>
      </c>
      <c r="G111">
        <v>50</v>
      </c>
      <c r="H111">
        <v>150</v>
      </c>
    </row>
    <row r="112" spans="1:8" x14ac:dyDescent="0.25">
      <c r="A112">
        <v>111</v>
      </c>
      <c r="B112" t="s">
        <v>115</v>
      </c>
      <c r="C112" t="s">
        <v>23</v>
      </c>
      <c r="D112" t="s">
        <v>20</v>
      </c>
      <c r="E112" t="s">
        <v>21</v>
      </c>
      <c r="F112">
        <v>0</v>
      </c>
      <c r="G112">
        <v>1500</v>
      </c>
      <c r="H112">
        <v>27</v>
      </c>
    </row>
    <row r="113" spans="1:8" x14ac:dyDescent="0.25">
      <c r="A113">
        <v>112</v>
      </c>
      <c r="B113" t="s">
        <v>116</v>
      </c>
      <c r="C113" t="s">
        <v>19</v>
      </c>
      <c r="D113" t="s">
        <v>20</v>
      </c>
      <c r="F113">
        <v>5</v>
      </c>
      <c r="G113">
        <v>50</v>
      </c>
      <c r="H113">
        <v>250</v>
      </c>
    </row>
    <row r="114" spans="1:8" x14ac:dyDescent="0.25">
      <c r="A114">
        <v>113</v>
      </c>
      <c r="B114" t="s">
        <v>68</v>
      </c>
      <c r="C114" t="s">
        <v>23</v>
      </c>
      <c r="D114" t="s">
        <v>26</v>
      </c>
      <c r="F114">
        <v>-1</v>
      </c>
      <c r="G114">
        <v>1500</v>
      </c>
      <c r="H114">
        <v>-1500</v>
      </c>
    </row>
    <row r="115" spans="1:8" x14ac:dyDescent="0.25">
      <c r="A115">
        <v>114</v>
      </c>
      <c r="B115" t="s">
        <v>55</v>
      </c>
      <c r="C115" t="s">
        <v>9</v>
      </c>
      <c r="D115" t="s">
        <v>26</v>
      </c>
      <c r="E115" t="s">
        <v>28</v>
      </c>
      <c r="F115">
        <v>0</v>
      </c>
      <c r="G115">
        <v>700</v>
      </c>
      <c r="H115">
        <v>83</v>
      </c>
    </row>
    <row r="116" spans="1:8" x14ac:dyDescent="0.25">
      <c r="A116">
        <v>115</v>
      </c>
      <c r="B116" t="s">
        <v>53</v>
      </c>
      <c r="C116" t="s">
        <v>15</v>
      </c>
      <c r="D116" t="s">
        <v>26</v>
      </c>
      <c r="E116" t="s">
        <v>13</v>
      </c>
      <c r="F116">
        <v>0</v>
      </c>
      <c r="G116">
        <v>50</v>
      </c>
      <c r="H116">
        <v>0</v>
      </c>
    </row>
    <row r="117" spans="1:8" x14ac:dyDescent="0.25">
      <c r="A117">
        <v>116</v>
      </c>
      <c r="B117" t="s">
        <v>31</v>
      </c>
      <c r="C117" t="s">
        <v>23</v>
      </c>
      <c r="D117" t="s">
        <v>20</v>
      </c>
      <c r="E117" t="s">
        <v>28</v>
      </c>
      <c r="F117">
        <v>1</v>
      </c>
      <c r="G117">
        <v>700</v>
      </c>
      <c r="H117">
        <v>700</v>
      </c>
    </row>
    <row r="118" spans="1:8" x14ac:dyDescent="0.25">
      <c r="A118">
        <v>117</v>
      </c>
      <c r="B118" t="s">
        <v>25</v>
      </c>
      <c r="D118" t="s">
        <v>16</v>
      </c>
      <c r="F118">
        <v>-3</v>
      </c>
      <c r="G118">
        <v>700</v>
      </c>
      <c r="H118">
        <v>-2100</v>
      </c>
    </row>
    <row r="119" spans="1:8" x14ac:dyDescent="0.25">
      <c r="A119">
        <v>118</v>
      </c>
      <c r="B119" t="s">
        <v>117</v>
      </c>
      <c r="C119" t="s">
        <v>9</v>
      </c>
      <c r="D119" t="s">
        <v>10</v>
      </c>
      <c r="E119" t="s">
        <v>28</v>
      </c>
      <c r="F119">
        <v>-2</v>
      </c>
      <c r="G119">
        <v>50</v>
      </c>
      <c r="H119">
        <v>-25</v>
      </c>
    </row>
    <row r="120" spans="1:8" x14ac:dyDescent="0.25">
      <c r="A120">
        <v>119</v>
      </c>
      <c r="B120" t="s">
        <v>118</v>
      </c>
      <c r="C120" t="s">
        <v>23</v>
      </c>
      <c r="D120" t="s">
        <v>16</v>
      </c>
      <c r="E120" t="s">
        <v>13</v>
      </c>
      <c r="F120">
        <v>-1</v>
      </c>
      <c r="G120">
        <v>50</v>
      </c>
      <c r="H120">
        <v>7</v>
      </c>
    </row>
    <row r="121" spans="1:8" x14ac:dyDescent="0.25">
      <c r="A121">
        <v>120</v>
      </c>
      <c r="B121" t="s">
        <v>107</v>
      </c>
      <c r="D121" t="s">
        <v>10</v>
      </c>
      <c r="F121">
        <v>0</v>
      </c>
      <c r="G121">
        <v>700</v>
      </c>
      <c r="H121">
        <v>0</v>
      </c>
    </row>
    <row r="122" spans="1:8" x14ac:dyDescent="0.25">
      <c r="A122">
        <v>121</v>
      </c>
      <c r="B122" t="s">
        <v>43</v>
      </c>
      <c r="D122" t="s">
        <v>26</v>
      </c>
      <c r="F122">
        <v>5</v>
      </c>
      <c r="G122">
        <v>700</v>
      </c>
      <c r="H122">
        <v>3500</v>
      </c>
    </row>
    <row r="123" spans="1:8" x14ac:dyDescent="0.25">
      <c r="A123">
        <v>122</v>
      </c>
      <c r="B123" t="s">
        <v>119</v>
      </c>
      <c r="C123" t="s">
        <v>19</v>
      </c>
      <c r="D123" t="s">
        <v>20</v>
      </c>
      <c r="E123" t="s">
        <v>13</v>
      </c>
      <c r="F123">
        <v>0</v>
      </c>
      <c r="G123">
        <v>700</v>
      </c>
      <c r="H123">
        <v>0</v>
      </c>
    </row>
    <row r="124" spans="1:8" x14ac:dyDescent="0.25">
      <c r="A124">
        <v>123</v>
      </c>
      <c r="B124" t="s">
        <v>120</v>
      </c>
      <c r="C124" t="s">
        <v>15</v>
      </c>
      <c r="D124" t="s">
        <v>16</v>
      </c>
      <c r="E124" t="s">
        <v>28</v>
      </c>
      <c r="F124">
        <v>4</v>
      </c>
      <c r="G124">
        <v>50</v>
      </c>
      <c r="H124">
        <v>200</v>
      </c>
    </row>
    <row r="125" spans="1:8" x14ac:dyDescent="0.25">
      <c r="A125">
        <v>124</v>
      </c>
      <c r="B125" t="s">
        <v>74</v>
      </c>
      <c r="C125" t="s">
        <v>23</v>
      </c>
      <c r="D125" t="s">
        <v>26</v>
      </c>
      <c r="E125" t="s">
        <v>13</v>
      </c>
      <c r="F125">
        <v>-2</v>
      </c>
      <c r="G125">
        <v>80</v>
      </c>
      <c r="H125">
        <v>-160</v>
      </c>
    </row>
    <row r="126" spans="1:8" x14ac:dyDescent="0.25">
      <c r="A126">
        <v>125</v>
      </c>
      <c r="B126" t="s">
        <v>121</v>
      </c>
      <c r="C126" t="s">
        <v>23</v>
      </c>
      <c r="D126" t="s">
        <v>12</v>
      </c>
      <c r="E126" t="s">
        <v>21</v>
      </c>
      <c r="F126">
        <v>0</v>
      </c>
      <c r="G126">
        <v>1500</v>
      </c>
      <c r="H126">
        <v>0</v>
      </c>
    </row>
    <row r="127" spans="1:8" x14ac:dyDescent="0.25">
      <c r="A127">
        <v>126</v>
      </c>
      <c r="B127" t="s">
        <v>122</v>
      </c>
      <c r="C127" t="s">
        <v>19</v>
      </c>
      <c r="D127" t="s">
        <v>16</v>
      </c>
      <c r="E127" t="s">
        <v>21</v>
      </c>
      <c r="F127">
        <v>1</v>
      </c>
      <c r="G127">
        <v>1500</v>
      </c>
      <c r="H127">
        <v>1500</v>
      </c>
    </row>
    <row r="128" spans="1:8" x14ac:dyDescent="0.25">
      <c r="A128">
        <v>127</v>
      </c>
      <c r="B128" t="s">
        <v>114</v>
      </c>
      <c r="C128" t="s">
        <v>9</v>
      </c>
      <c r="D128" t="s">
        <v>12</v>
      </c>
      <c r="E128" t="s">
        <v>17</v>
      </c>
      <c r="F128">
        <v>0</v>
      </c>
      <c r="G128">
        <v>50</v>
      </c>
      <c r="H128">
        <v>0</v>
      </c>
    </row>
    <row r="129" spans="1:8" x14ac:dyDescent="0.25">
      <c r="A129">
        <v>128</v>
      </c>
      <c r="B129" t="s">
        <v>89</v>
      </c>
      <c r="C129" t="s">
        <v>19</v>
      </c>
      <c r="D129" t="s">
        <v>16</v>
      </c>
      <c r="E129" t="s">
        <v>13</v>
      </c>
      <c r="F129">
        <v>0</v>
      </c>
      <c r="G129">
        <v>700</v>
      </c>
      <c r="H129">
        <v>0</v>
      </c>
    </row>
    <row r="130" spans="1:8" x14ac:dyDescent="0.25">
      <c r="A130">
        <v>129</v>
      </c>
      <c r="B130" t="s">
        <v>95</v>
      </c>
      <c r="C130" t="s">
        <v>15</v>
      </c>
      <c r="D130" t="s">
        <v>20</v>
      </c>
      <c r="E130" t="s">
        <v>21</v>
      </c>
      <c r="F130">
        <v>-3</v>
      </c>
      <c r="G130">
        <v>80</v>
      </c>
      <c r="H130">
        <v>-205</v>
      </c>
    </row>
    <row r="131" spans="1:8" x14ac:dyDescent="0.25">
      <c r="A131">
        <v>130</v>
      </c>
      <c r="B131" t="s">
        <v>123</v>
      </c>
      <c r="C131" t="s">
        <v>15</v>
      </c>
      <c r="D131" t="s">
        <v>20</v>
      </c>
      <c r="E131" t="s">
        <v>21</v>
      </c>
      <c r="F131">
        <v>4</v>
      </c>
      <c r="G131">
        <v>700</v>
      </c>
      <c r="H131">
        <v>2800</v>
      </c>
    </row>
    <row r="132" spans="1:8" x14ac:dyDescent="0.25">
      <c r="A132">
        <v>131</v>
      </c>
      <c r="B132" t="s">
        <v>46</v>
      </c>
      <c r="D132" t="s">
        <v>16</v>
      </c>
      <c r="E132" t="s">
        <v>13</v>
      </c>
      <c r="F132">
        <v>-2</v>
      </c>
      <c r="G132">
        <v>1500</v>
      </c>
      <c r="H132">
        <v>-3000</v>
      </c>
    </row>
    <row r="133" spans="1:8" x14ac:dyDescent="0.25">
      <c r="A133">
        <v>132</v>
      </c>
      <c r="B133" t="s">
        <v>76</v>
      </c>
      <c r="C133" t="s">
        <v>23</v>
      </c>
      <c r="D133" t="s">
        <v>20</v>
      </c>
      <c r="F133">
        <v>0</v>
      </c>
      <c r="G133">
        <v>50</v>
      </c>
      <c r="H133">
        <v>51</v>
      </c>
    </row>
    <row r="134" spans="1:8" x14ac:dyDescent="0.25">
      <c r="A134">
        <v>133</v>
      </c>
      <c r="B134" t="s">
        <v>39</v>
      </c>
      <c r="C134" t="s">
        <v>15</v>
      </c>
      <c r="D134" t="s">
        <v>10</v>
      </c>
      <c r="E134" t="s">
        <v>13</v>
      </c>
      <c r="F134">
        <v>1</v>
      </c>
      <c r="G134">
        <v>1500</v>
      </c>
      <c r="H134">
        <v>1514</v>
      </c>
    </row>
    <row r="135" spans="1:8" x14ac:dyDescent="0.25">
      <c r="A135">
        <v>134</v>
      </c>
      <c r="B135" t="s">
        <v>98</v>
      </c>
      <c r="D135" t="s">
        <v>16</v>
      </c>
      <c r="E135" t="s">
        <v>21</v>
      </c>
      <c r="F135">
        <v>0</v>
      </c>
      <c r="G135">
        <v>1500</v>
      </c>
      <c r="H135">
        <v>0</v>
      </c>
    </row>
    <row r="136" spans="1:8" x14ac:dyDescent="0.25">
      <c r="A136">
        <v>135</v>
      </c>
      <c r="B136" t="s">
        <v>58</v>
      </c>
      <c r="C136" t="s">
        <v>15</v>
      </c>
      <c r="D136" t="s">
        <v>20</v>
      </c>
      <c r="E136" t="s">
        <v>17</v>
      </c>
      <c r="F136">
        <v>0</v>
      </c>
      <c r="G136">
        <v>1500</v>
      </c>
      <c r="H136">
        <v>0</v>
      </c>
    </row>
    <row r="137" spans="1:8" x14ac:dyDescent="0.25">
      <c r="A137">
        <v>136</v>
      </c>
      <c r="B137" t="s">
        <v>77</v>
      </c>
      <c r="C137" t="s">
        <v>9</v>
      </c>
      <c r="D137" t="s">
        <v>20</v>
      </c>
      <c r="E137" t="s">
        <v>21</v>
      </c>
      <c r="F137">
        <v>-1</v>
      </c>
      <c r="G137">
        <v>700</v>
      </c>
      <c r="H137">
        <v>-700</v>
      </c>
    </row>
    <row r="138" spans="1:8" x14ac:dyDescent="0.25">
      <c r="A138">
        <v>137</v>
      </c>
      <c r="B138" t="s">
        <v>124</v>
      </c>
      <c r="D138" t="s">
        <v>26</v>
      </c>
      <c r="F138">
        <v>5</v>
      </c>
      <c r="G138">
        <v>80</v>
      </c>
      <c r="H138">
        <v>400</v>
      </c>
    </row>
    <row r="139" spans="1:8" x14ac:dyDescent="0.25">
      <c r="A139">
        <v>138</v>
      </c>
      <c r="B139" t="s">
        <v>125</v>
      </c>
      <c r="C139" t="s">
        <v>23</v>
      </c>
      <c r="D139" t="s">
        <v>12</v>
      </c>
      <c r="F139">
        <v>0</v>
      </c>
      <c r="G139">
        <v>50</v>
      </c>
      <c r="H139">
        <v>79</v>
      </c>
    </row>
    <row r="140" spans="1:8" x14ac:dyDescent="0.25">
      <c r="A140">
        <v>139</v>
      </c>
      <c r="B140" t="s">
        <v>126</v>
      </c>
      <c r="C140" t="s">
        <v>23</v>
      </c>
      <c r="D140" t="s">
        <v>20</v>
      </c>
      <c r="E140" t="s">
        <v>28</v>
      </c>
      <c r="F140">
        <v>4</v>
      </c>
      <c r="G140">
        <v>80</v>
      </c>
      <c r="H140">
        <v>320</v>
      </c>
    </row>
    <row r="141" spans="1:8" x14ac:dyDescent="0.25">
      <c r="A141">
        <v>140</v>
      </c>
      <c r="B141" t="s">
        <v>127</v>
      </c>
      <c r="C141" t="s">
        <v>15</v>
      </c>
      <c r="D141" t="s">
        <v>16</v>
      </c>
      <c r="E141" t="s">
        <v>17</v>
      </c>
      <c r="F141">
        <v>-3</v>
      </c>
      <c r="G141">
        <v>80</v>
      </c>
      <c r="H141">
        <v>-240</v>
      </c>
    </row>
    <row r="142" spans="1:8" x14ac:dyDescent="0.25">
      <c r="A142">
        <v>141</v>
      </c>
      <c r="B142" t="s">
        <v>77</v>
      </c>
      <c r="D142" t="s">
        <v>26</v>
      </c>
      <c r="E142" t="s">
        <v>17</v>
      </c>
      <c r="F142">
        <v>2</v>
      </c>
      <c r="G142">
        <v>1500</v>
      </c>
      <c r="H142">
        <v>3000</v>
      </c>
    </row>
    <row r="143" spans="1:8" x14ac:dyDescent="0.25">
      <c r="A143">
        <v>142</v>
      </c>
      <c r="B143" t="s">
        <v>128</v>
      </c>
      <c r="C143" t="s">
        <v>23</v>
      </c>
      <c r="D143" t="s">
        <v>20</v>
      </c>
      <c r="E143" t="s">
        <v>17</v>
      </c>
      <c r="F143">
        <v>-2</v>
      </c>
      <c r="G143">
        <v>1500</v>
      </c>
      <c r="H143">
        <v>-3000</v>
      </c>
    </row>
    <row r="144" spans="1:8" x14ac:dyDescent="0.25">
      <c r="A144">
        <v>143</v>
      </c>
      <c r="B144" t="s">
        <v>57</v>
      </c>
      <c r="C144" t="s">
        <v>23</v>
      </c>
      <c r="D144" t="s">
        <v>12</v>
      </c>
      <c r="E144" t="s">
        <v>17</v>
      </c>
      <c r="F144">
        <v>-2</v>
      </c>
      <c r="G144">
        <v>50</v>
      </c>
      <c r="H144">
        <v>-19</v>
      </c>
    </row>
    <row r="145" spans="1:8" x14ac:dyDescent="0.25">
      <c r="A145">
        <v>144</v>
      </c>
      <c r="B145" t="s">
        <v>129</v>
      </c>
      <c r="C145" t="s">
        <v>9</v>
      </c>
      <c r="D145" t="s">
        <v>16</v>
      </c>
      <c r="E145" t="s">
        <v>28</v>
      </c>
      <c r="F145">
        <v>-3</v>
      </c>
      <c r="G145">
        <v>80</v>
      </c>
      <c r="H145">
        <v>-240</v>
      </c>
    </row>
    <row r="146" spans="1:8" x14ac:dyDescent="0.25">
      <c r="A146">
        <v>145</v>
      </c>
      <c r="B146" t="s">
        <v>130</v>
      </c>
      <c r="C146" t="s">
        <v>23</v>
      </c>
      <c r="D146" t="s">
        <v>10</v>
      </c>
      <c r="E146" t="s">
        <v>13</v>
      </c>
      <c r="F146">
        <v>-1</v>
      </c>
      <c r="G146">
        <v>80</v>
      </c>
      <c r="H146">
        <v>-80</v>
      </c>
    </row>
    <row r="147" spans="1:8" x14ac:dyDescent="0.25">
      <c r="A147">
        <v>146</v>
      </c>
      <c r="B147" t="s">
        <v>131</v>
      </c>
      <c r="C147" t="s">
        <v>15</v>
      </c>
      <c r="D147" t="s">
        <v>20</v>
      </c>
      <c r="E147" t="s">
        <v>21</v>
      </c>
      <c r="F147">
        <v>0</v>
      </c>
      <c r="G147">
        <v>1500</v>
      </c>
      <c r="H147">
        <v>0</v>
      </c>
    </row>
    <row r="148" spans="1:8" x14ac:dyDescent="0.25">
      <c r="A148">
        <v>147</v>
      </c>
      <c r="B148" t="s">
        <v>132</v>
      </c>
      <c r="D148" t="s">
        <v>10</v>
      </c>
      <c r="E148" t="s">
        <v>21</v>
      </c>
      <c r="F148">
        <v>-1</v>
      </c>
      <c r="G148">
        <v>50</v>
      </c>
      <c r="H148">
        <v>-50</v>
      </c>
    </row>
    <row r="149" spans="1:8" x14ac:dyDescent="0.25">
      <c r="A149">
        <v>148</v>
      </c>
      <c r="B149" t="s">
        <v>43</v>
      </c>
      <c r="C149" t="s">
        <v>9</v>
      </c>
      <c r="D149" t="s">
        <v>26</v>
      </c>
      <c r="E149" t="s">
        <v>28</v>
      </c>
      <c r="F149">
        <v>-3</v>
      </c>
      <c r="G149">
        <v>1500</v>
      </c>
      <c r="H149">
        <v>-4500</v>
      </c>
    </row>
    <row r="150" spans="1:8" x14ac:dyDescent="0.25">
      <c r="A150">
        <v>149</v>
      </c>
      <c r="B150" t="s">
        <v>133</v>
      </c>
      <c r="C150" t="s">
        <v>9</v>
      </c>
      <c r="D150" t="s">
        <v>12</v>
      </c>
      <c r="E150" t="s">
        <v>21</v>
      </c>
      <c r="F150">
        <v>0</v>
      </c>
      <c r="G150">
        <v>1500</v>
      </c>
      <c r="H150">
        <v>0</v>
      </c>
    </row>
    <row r="151" spans="1:8" x14ac:dyDescent="0.25">
      <c r="A151">
        <v>150</v>
      </c>
      <c r="B151" t="s">
        <v>101</v>
      </c>
      <c r="C151" t="s">
        <v>9</v>
      </c>
      <c r="D151" t="s">
        <v>20</v>
      </c>
      <c r="E151" t="s">
        <v>21</v>
      </c>
      <c r="F151">
        <v>-2</v>
      </c>
      <c r="G151">
        <v>50</v>
      </c>
      <c r="H151">
        <v>-100</v>
      </c>
    </row>
    <row r="152" spans="1:8" x14ac:dyDescent="0.25">
      <c r="A152">
        <v>151</v>
      </c>
      <c r="B152" t="s">
        <v>134</v>
      </c>
      <c r="C152" t="s">
        <v>15</v>
      </c>
      <c r="D152" t="s">
        <v>12</v>
      </c>
      <c r="E152" t="s">
        <v>13</v>
      </c>
      <c r="F152">
        <v>-3</v>
      </c>
      <c r="G152">
        <v>1500</v>
      </c>
      <c r="H152">
        <v>-4500</v>
      </c>
    </row>
    <row r="153" spans="1:8" x14ac:dyDescent="0.25">
      <c r="A153">
        <v>152</v>
      </c>
      <c r="B153" t="s">
        <v>135</v>
      </c>
      <c r="C153" t="s">
        <v>9</v>
      </c>
      <c r="D153" t="s">
        <v>16</v>
      </c>
      <c r="E153" t="s">
        <v>21</v>
      </c>
      <c r="F153">
        <v>2</v>
      </c>
      <c r="G153">
        <v>50</v>
      </c>
      <c r="H153">
        <v>100</v>
      </c>
    </row>
    <row r="154" spans="1:8" x14ac:dyDescent="0.25">
      <c r="A154">
        <v>153</v>
      </c>
      <c r="B154" t="s">
        <v>93</v>
      </c>
      <c r="C154" t="s">
        <v>9</v>
      </c>
      <c r="D154" t="s">
        <v>10</v>
      </c>
      <c r="E154" t="s">
        <v>21</v>
      </c>
      <c r="F154">
        <v>-2</v>
      </c>
      <c r="G154">
        <v>80</v>
      </c>
      <c r="H154">
        <v>-160</v>
      </c>
    </row>
    <row r="155" spans="1:8" x14ac:dyDescent="0.25">
      <c r="A155">
        <v>154</v>
      </c>
      <c r="B155" t="s">
        <v>136</v>
      </c>
      <c r="C155" t="s">
        <v>23</v>
      </c>
      <c r="D155" t="s">
        <v>16</v>
      </c>
      <c r="E155" t="s">
        <v>28</v>
      </c>
      <c r="F155">
        <v>-2</v>
      </c>
      <c r="G155">
        <v>50</v>
      </c>
      <c r="H155">
        <v>-29</v>
      </c>
    </row>
    <row r="156" spans="1:8" x14ac:dyDescent="0.25">
      <c r="A156">
        <v>155</v>
      </c>
      <c r="B156" t="s">
        <v>76</v>
      </c>
      <c r="C156" t="s">
        <v>9</v>
      </c>
      <c r="D156" t="s">
        <v>10</v>
      </c>
      <c r="F156">
        <v>-2</v>
      </c>
      <c r="G156">
        <v>80</v>
      </c>
      <c r="H156">
        <v>-81</v>
      </c>
    </row>
    <row r="157" spans="1:8" x14ac:dyDescent="0.25">
      <c r="A157">
        <v>156</v>
      </c>
      <c r="B157" t="s">
        <v>137</v>
      </c>
      <c r="C157" t="s">
        <v>15</v>
      </c>
      <c r="D157" t="s">
        <v>12</v>
      </c>
      <c r="E157" t="s">
        <v>28</v>
      </c>
      <c r="F157">
        <v>0</v>
      </c>
      <c r="G157">
        <v>80</v>
      </c>
      <c r="H157">
        <v>0</v>
      </c>
    </row>
    <row r="158" spans="1:8" x14ac:dyDescent="0.25">
      <c r="A158">
        <v>157</v>
      </c>
      <c r="B158" t="s">
        <v>138</v>
      </c>
      <c r="C158" t="s">
        <v>23</v>
      </c>
      <c r="D158" t="s">
        <v>20</v>
      </c>
      <c r="E158" t="s">
        <v>28</v>
      </c>
      <c r="F158">
        <v>0</v>
      </c>
      <c r="G158">
        <v>50</v>
      </c>
      <c r="H158">
        <v>0</v>
      </c>
    </row>
    <row r="159" spans="1:8" x14ac:dyDescent="0.25">
      <c r="A159">
        <v>158</v>
      </c>
      <c r="B159" t="s">
        <v>73</v>
      </c>
      <c r="C159" t="s">
        <v>15</v>
      </c>
      <c r="D159" t="s">
        <v>10</v>
      </c>
      <c r="E159" t="s">
        <v>21</v>
      </c>
      <c r="F159">
        <v>0</v>
      </c>
      <c r="G159">
        <v>1500</v>
      </c>
      <c r="H159">
        <v>0</v>
      </c>
    </row>
    <row r="160" spans="1:8" x14ac:dyDescent="0.25">
      <c r="A160">
        <v>159</v>
      </c>
      <c r="B160" t="s">
        <v>74</v>
      </c>
      <c r="C160" t="s">
        <v>23</v>
      </c>
      <c r="D160" t="s">
        <v>10</v>
      </c>
      <c r="E160" t="s">
        <v>28</v>
      </c>
      <c r="F160">
        <v>3</v>
      </c>
      <c r="G160">
        <v>1500</v>
      </c>
      <c r="H160">
        <v>4500</v>
      </c>
    </row>
    <row r="161" spans="1:8" x14ac:dyDescent="0.25">
      <c r="A161">
        <v>160</v>
      </c>
      <c r="B161" t="s">
        <v>120</v>
      </c>
      <c r="C161" t="s">
        <v>9</v>
      </c>
      <c r="D161" t="s">
        <v>10</v>
      </c>
      <c r="F161">
        <v>0</v>
      </c>
      <c r="G161">
        <v>1500</v>
      </c>
      <c r="H161">
        <v>0</v>
      </c>
    </row>
    <row r="162" spans="1:8" x14ac:dyDescent="0.25">
      <c r="A162">
        <v>161</v>
      </c>
      <c r="B162" t="s">
        <v>71</v>
      </c>
      <c r="C162" t="s">
        <v>19</v>
      </c>
      <c r="D162" t="s">
        <v>16</v>
      </c>
      <c r="E162" t="s">
        <v>21</v>
      </c>
      <c r="F162">
        <v>0</v>
      </c>
      <c r="G162">
        <v>80</v>
      </c>
      <c r="H162">
        <v>0</v>
      </c>
    </row>
    <row r="163" spans="1:8" x14ac:dyDescent="0.25">
      <c r="A163">
        <v>162</v>
      </c>
      <c r="B163" t="s">
        <v>119</v>
      </c>
      <c r="C163" t="s">
        <v>15</v>
      </c>
      <c r="D163" t="s">
        <v>12</v>
      </c>
      <c r="E163" t="s">
        <v>17</v>
      </c>
      <c r="F163">
        <v>4</v>
      </c>
      <c r="G163">
        <v>50</v>
      </c>
      <c r="H163">
        <v>245</v>
      </c>
    </row>
    <row r="164" spans="1:8" x14ac:dyDescent="0.25">
      <c r="A164">
        <v>163</v>
      </c>
      <c r="B164" t="s">
        <v>139</v>
      </c>
      <c r="C164" t="s">
        <v>9</v>
      </c>
      <c r="D164" t="s">
        <v>10</v>
      </c>
      <c r="E164" t="s">
        <v>21</v>
      </c>
      <c r="F164">
        <v>5</v>
      </c>
      <c r="G164">
        <v>700</v>
      </c>
      <c r="H164">
        <v>3599</v>
      </c>
    </row>
    <row r="165" spans="1:8" x14ac:dyDescent="0.25">
      <c r="A165">
        <v>164</v>
      </c>
      <c r="B165" t="s">
        <v>127</v>
      </c>
      <c r="C165" t="s">
        <v>19</v>
      </c>
      <c r="D165" t="s">
        <v>20</v>
      </c>
      <c r="F165">
        <v>1</v>
      </c>
      <c r="G165">
        <v>1500</v>
      </c>
      <c r="H165">
        <v>1500</v>
      </c>
    </row>
    <row r="166" spans="1:8" x14ac:dyDescent="0.25">
      <c r="A166">
        <v>165</v>
      </c>
      <c r="B166" t="s">
        <v>48</v>
      </c>
      <c r="C166" t="s">
        <v>15</v>
      </c>
      <c r="D166" t="s">
        <v>20</v>
      </c>
      <c r="E166" t="s">
        <v>17</v>
      </c>
      <c r="F166">
        <v>0</v>
      </c>
      <c r="G166">
        <v>1500</v>
      </c>
      <c r="H166">
        <v>64</v>
      </c>
    </row>
    <row r="167" spans="1:8" x14ac:dyDescent="0.25">
      <c r="A167">
        <v>166</v>
      </c>
      <c r="B167" t="s">
        <v>24</v>
      </c>
      <c r="D167" t="s">
        <v>10</v>
      </c>
      <c r="E167" t="s">
        <v>17</v>
      </c>
      <c r="F167">
        <v>-1</v>
      </c>
      <c r="G167">
        <v>700</v>
      </c>
      <c r="H167">
        <v>-640</v>
      </c>
    </row>
    <row r="168" spans="1:8" x14ac:dyDescent="0.25">
      <c r="A168">
        <v>167</v>
      </c>
      <c r="B168" t="s">
        <v>103</v>
      </c>
      <c r="C168" t="s">
        <v>9</v>
      </c>
      <c r="D168" t="s">
        <v>12</v>
      </c>
      <c r="E168" t="s">
        <v>28</v>
      </c>
      <c r="F168">
        <v>0</v>
      </c>
      <c r="G168">
        <v>1500</v>
      </c>
      <c r="H168">
        <v>0</v>
      </c>
    </row>
    <row r="169" spans="1:8" x14ac:dyDescent="0.25">
      <c r="A169">
        <v>168</v>
      </c>
      <c r="B169" t="s">
        <v>41</v>
      </c>
      <c r="C169" t="s">
        <v>9</v>
      </c>
      <c r="D169" t="s">
        <v>12</v>
      </c>
      <c r="E169" t="s">
        <v>13</v>
      </c>
      <c r="F169">
        <v>2</v>
      </c>
      <c r="G169">
        <v>50</v>
      </c>
      <c r="H169">
        <v>140</v>
      </c>
    </row>
    <row r="170" spans="1:8" x14ac:dyDescent="0.25">
      <c r="A170">
        <v>169</v>
      </c>
      <c r="B170" t="s">
        <v>140</v>
      </c>
      <c r="C170" t="s">
        <v>19</v>
      </c>
      <c r="D170" t="s">
        <v>16</v>
      </c>
      <c r="F170">
        <v>-2</v>
      </c>
      <c r="G170">
        <v>1500</v>
      </c>
      <c r="H170">
        <v>-2905</v>
      </c>
    </row>
    <row r="171" spans="1:8" x14ac:dyDescent="0.25">
      <c r="A171">
        <v>170</v>
      </c>
      <c r="B171" t="s">
        <v>117</v>
      </c>
      <c r="C171" t="s">
        <v>23</v>
      </c>
      <c r="D171" t="s">
        <v>20</v>
      </c>
      <c r="E171" t="s">
        <v>13</v>
      </c>
      <c r="F171">
        <v>-1</v>
      </c>
      <c r="G171">
        <v>1500</v>
      </c>
      <c r="H171">
        <v>-1500</v>
      </c>
    </row>
    <row r="172" spans="1:8" x14ac:dyDescent="0.25">
      <c r="A172">
        <v>171</v>
      </c>
      <c r="B172" t="s">
        <v>141</v>
      </c>
      <c r="C172" t="s">
        <v>9</v>
      </c>
      <c r="D172" t="s">
        <v>20</v>
      </c>
      <c r="E172" t="s">
        <v>17</v>
      </c>
      <c r="F172">
        <v>0</v>
      </c>
      <c r="G172">
        <v>80</v>
      </c>
      <c r="H172">
        <v>0</v>
      </c>
    </row>
    <row r="173" spans="1:8" x14ac:dyDescent="0.25">
      <c r="A173">
        <v>172</v>
      </c>
      <c r="B173" t="s">
        <v>142</v>
      </c>
      <c r="C173" t="s">
        <v>19</v>
      </c>
      <c r="D173" t="s">
        <v>20</v>
      </c>
      <c r="F173">
        <v>-1</v>
      </c>
      <c r="G173">
        <v>1500</v>
      </c>
      <c r="H173">
        <v>-1500</v>
      </c>
    </row>
    <row r="174" spans="1:8" x14ac:dyDescent="0.25">
      <c r="A174">
        <v>173</v>
      </c>
      <c r="B174" t="s">
        <v>121</v>
      </c>
      <c r="D174" t="s">
        <v>26</v>
      </c>
      <c r="E174" t="s">
        <v>28</v>
      </c>
      <c r="F174">
        <v>4</v>
      </c>
      <c r="G174">
        <v>50</v>
      </c>
      <c r="H174">
        <v>200</v>
      </c>
    </row>
    <row r="175" spans="1:8" x14ac:dyDescent="0.25">
      <c r="A175">
        <v>174</v>
      </c>
      <c r="B175" t="s">
        <v>142</v>
      </c>
      <c r="C175" t="s">
        <v>15</v>
      </c>
      <c r="D175" t="s">
        <v>26</v>
      </c>
      <c r="E175" t="s">
        <v>13</v>
      </c>
      <c r="F175">
        <v>2</v>
      </c>
      <c r="G175">
        <v>700</v>
      </c>
      <c r="H175">
        <v>1400</v>
      </c>
    </row>
    <row r="176" spans="1:8" x14ac:dyDescent="0.25">
      <c r="A176">
        <v>175</v>
      </c>
      <c r="B176" t="s">
        <v>80</v>
      </c>
      <c r="C176" t="s">
        <v>15</v>
      </c>
      <c r="D176" t="s">
        <v>26</v>
      </c>
      <c r="E176" t="s">
        <v>13</v>
      </c>
      <c r="F176">
        <v>-1</v>
      </c>
      <c r="G176">
        <v>700</v>
      </c>
      <c r="H176">
        <v>-700</v>
      </c>
    </row>
    <row r="177" spans="1:8" x14ac:dyDescent="0.25">
      <c r="A177">
        <v>176</v>
      </c>
      <c r="B177" t="s">
        <v>143</v>
      </c>
      <c r="C177" t="s">
        <v>15</v>
      </c>
      <c r="D177" t="s">
        <v>26</v>
      </c>
      <c r="F177">
        <v>-1</v>
      </c>
      <c r="G177">
        <v>50</v>
      </c>
      <c r="H177">
        <v>-3</v>
      </c>
    </row>
    <row r="178" spans="1:8" x14ac:dyDescent="0.25">
      <c r="A178">
        <v>177</v>
      </c>
      <c r="B178" t="s">
        <v>60</v>
      </c>
      <c r="C178" t="s">
        <v>9</v>
      </c>
      <c r="D178" t="s">
        <v>12</v>
      </c>
      <c r="E178" t="s">
        <v>17</v>
      </c>
      <c r="F178">
        <v>-3</v>
      </c>
      <c r="G178">
        <v>80</v>
      </c>
      <c r="H178">
        <v>-240</v>
      </c>
    </row>
    <row r="179" spans="1:8" x14ac:dyDescent="0.25">
      <c r="A179">
        <v>178</v>
      </c>
      <c r="B179" t="s">
        <v>58</v>
      </c>
      <c r="D179" t="s">
        <v>20</v>
      </c>
      <c r="E179" t="s">
        <v>17</v>
      </c>
      <c r="F179">
        <v>0</v>
      </c>
      <c r="G179">
        <v>80</v>
      </c>
      <c r="H179">
        <v>77</v>
      </c>
    </row>
    <row r="180" spans="1:8" x14ac:dyDescent="0.25">
      <c r="A180">
        <v>179</v>
      </c>
      <c r="B180" t="s">
        <v>45</v>
      </c>
      <c r="C180" t="s">
        <v>19</v>
      </c>
      <c r="D180" t="s">
        <v>12</v>
      </c>
      <c r="E180" t="s">
        <v>17</v>
      </c>
      <c r="F180">
        <v>0</v>
      </c>
      <c r="G180">
        <v>700</v>
      </c>
      <c r="H180">
        <v>0</v>
      </c>
    </row>
    <row r="181" spans="1:8" x14ac:dyDescent="0.25">
      <c r="A181">
        <v>180</v>
      </c>
      <c r="B181" t="s">
        <v>144</v>
      </c>
      <c r="C181" t="s">
        <v>9</v>
      </c>
      <c r="D181" t="s">
        <v>12</v>
      </c>
      <c r="E181" t="s">
        <v>13</v>
      </c>
      <c r="F181">
        <v>0</v>
      </c>
      <c r="G181">
        <v>50</v>
      </c>
      <c r="H181">
        <v>0</v>
      </c>
    </row>
    <row r="182" spans="1:8" x14ac:dyDescent="0.25">
      <c r="A182">
        <v>181</v>
      </c>
      <c r="B182" t="s">
        <v>119</v>
      </c>
      <c r="C182" t="s">
        <v>9</v>
      </c>
      <c r="D182" t="s">
        <v>10</v>
      </c>
      <c r="E182" t="s">
        <v>21</v>
      </c>
      <c r="F182">
        <v>0</v>
      </c>
      <c r="G182">
        <v>700</v>
      </c>
      <c r="H182">
        <v>0</v>
      </c>
    </row>
    <row r="183" spans="1:8" x14ac:dyDescent="0.25">
      <c r="A183">
        <v>182</v>
      </c>
      <c r="B183" t="s">
        <v>145</v>
      </c>
      <c r="C183" t="s">
        <v>19</v>
      </c>
      <c r="D183" t="s">
        <v>10</v>
      </c>
      <c r="F183">
        <v>0</v>
      </c>
      <c r="G183">
        <v>50</v>
      </c>
      <c r="H183">
        <v>0</v>
      </c>
    </row>
    <row r="184" spans="1:8" x14ac:dyDescent="0.25">
      <c r="A184">
        <v>183</v>
      </c>
      <c r="B184" t="s">
        <v>126</v>
      </c>
      <c r="C184" t="s">
        <v>9</v>
      </c>
      <c r="D184" t="s">
        <v>12</v>
      </c>
      <c r="E184" t="s">
        <v>13</v>
      </c>
      <c r="F184">
        <v>-1</v>
      </c>
      <c r="G184">
        <v>1500</v>
      </c>
      <c r="H184">
        <v>-1410</v>
      </c>
    </row>
    <row r="185" spans="1:8" x14ac:dyDescent="0.25">
      <c r="A185">
        <v>184</v>
      </c>
      <c r="B185" t="s">
        <v>146</v>
      </c>
      <c r="C185" t="s">
        <v>23</v>
      </c>
      <c r="D185" t="s">
        <v>16</v>
      </c>
      <c r="E185" t="s">
        <v>21</v>
      </c>
      <c r="F185">
        <v>0</v>
      </c>
      <c r="G185">
        <v>80</v>
      </c>
      <c r="H185">
        <v>0</v>
      </c>
    </row>
    <row r="186" spans="1:8" x14ac:dyDescent="0.25">
      <c r="A186">
        <v>185</v>
      </c>
      <c r="B186" t="s">
        <v>86</v>
      </c>
      <c r="C186" t="s">
        <v>9</v>
      </c>
      <c r="D186" t="s">
        <v>12</v>
      </c>
      <c r="F186">
        <v>-3</v>
      </c>
      <c r="G186">
        <v>1500</v>
      </c>
      <c r="H186">
        <v>-4500</v>
      </c>
    </row>
    <row r="187" spans="1:8" x14ac:dyDescent="0.25">
      <c r="A187">
        <v>186</v>
      </c>
      <c r="B187" t="s">
        <v>147</v>
      </c>
      <c r="C187" t="s">
        <v>9</v>
      </c>
      <c r="D187" t="s">
        <v>20</v>
      </c>
      <c r="E187" t="s">
        <v>17</v>
      </c>
      <c r="F187">
        <v>0</v>
      </c>
      <c r="G187">
        <v>700</v>
      </c>
      <c r="H187">
        <v>0</v>
      </c>
    </row>
    <row r="188" spans="1:8" x14ac:dyDescent="0.25">
      <c r="A188">
        <v>187</v>
      </c>
      <c r="B188" t="s">
        <v>148</v>
      </c>
      <c r="C188" t="s">
        <v>15</v>
      </c>
      <c r="D188" t="s">
        <v>16</v>
      </c>
      <c r="E188" t="s">
        <v>21</v>
      </c>
      <c r="F188">
        <v>5</v>
      </c>
      <c r="G188">
        <v>700</v>
      </c>
      <c r="H188">
        <v>3500</v>
      </c>
    </row>
    <row r="189" spans="1:8" x14ac:dyDescent="0.25">
      <c r="A189">
        <v>188</v>
      </c>
      <c r="B189" t="s">
        <v>149</v>
      </c>
      <c r="C189" t="s">
        <v>9</v>
      </c>
      <c r="D189" t="s">
        <v>26</v>
      </c>
      <c r="F189">
        <v>2</v>
      </c>
      <c r="G189">
        <v>80</v>
      </c>
      <c r="H189">
        <v>160</v>
      </c>
    </row>
    <row r="190" spans="1:8" x14ac:dyDescent="0.25">
      <c r="A190">
        <v>189</v>
      </c>
      <c r="B190" t="s">
        <v>37</v>
      </c>
      <c r="C190" t="s">
        <v>15</v>
      </c>
      <c r="D190" t="s">
        <v>10</v>
      </c>
      <c r="E190" t="s">
        <v>17</v>
      </c>
      <c r="F190">
        <v>0</v>
      </c>
      <c r="G190">
        <v>50</v>
      </c>
      <c r="H190">
        <v>88</v>
      </c>
    </row>
    <row r="191" spans="1:8" x14ac:dyDescent="0.25">
      <c r="A191">
        <v>190</v>
      </c>
      <c r="B191" t="s">
        <v>125</v>
      </c>
      <c r="C191" t="s">
        <v>23</v>
      </c>
      <c r="D191" t="s">
        <v>12</v>
      </c>
      <c r="E191" t="s">
        <v>21</v>
      </c>
      <c r="F191">
        <v>0</v>
      </c>
      <c r="G191">
        <v>80</v>
      </c>
      <c r="H191">
        <v>0</v>
      </c>
    </row>
    <row r="192" spans="1:8" x14ac:dyDescent="0.25">
      <c r="A192">
        <v>191</v>
      </c>
      <c r="B192" t="s">
        <v>150</v>
      </c>
      <c r="C192" t="s">
        <v>9</v>
      </c>
      <c r="D192" t="s">
        <v>12</v>
      </c>
      <c r="E192" t="s">
        <v>28</v>
      </c>
      <c r="F192">
        <v>0</v>
      </c>
      <c r="G192">
        <v>1500</v>
      </c>
      <c r="H192">
        <v>0</v>
      </c>
    </row>
    <row r="193" spans="1:8" x14ac:dyDescent="0.25">
      <c r="A193">
        <v>192</v>
      </c>
      <c r="B193" t="s">
        <v>122</v>
      </c>
      <c r="C193" t="s">
        <v>15</v>
      </c>
      <c r="D193" t="s">
        <v>20</v>
      </c>
      <c r="E193" t="s">
        <v>28</v>
      </c>
      <c r="F193">
        <v>2</v>
      </c>
      <c r="G193">
        <v>700</v>
      </c>
      <c r="H193">
        <v>1400</v>
      </c>
    </row>
    <row r="194" spans="1:8" x14ac:dyDescent="0.25">
      <c r="A194">
        <v>193</v>
      </c>
      <c r="B194" t="s">
        <v>8</v>
      </c>
      <c r="C194" t="s">
        <v>19</v>
      </c>
      <c r="D194" t="s">
        <v>20</v>
      </c>
      <c r="E194" t="s">
        <v>13</v>
      </c>
      <c r="F194">
        <v>-2</v>
      </c>
      <c r="G194">
        <v>700</v>
      </c>
      <c r="H194">
        <v>-1328</v>
      </c>
    </row>
    <row r="195" spans="1:8" x14ac:dyDescent="0.25">
      <c r="A195">
        <v>194</v>
      </c>
      <c r="B195" t="s">
        <v>151</v>
      </c>
      <c r="D195" t="s">
        <v>16</v>
      </c>
      <c r="F195">
        <v>-1</v>
      </c>
      <c r="G195">
        <v>50</v>
      </c>
      <c r="H195">
        <v>-50</v>
      </c>
    </row>
    <row r="196" spans="1:8" x14ac:dyDescent="0.25">
      <c r="A196">
        <v>195</v>
      </c>
      <c r="B196" t="s">
        <v>66</v>
      </c>
      <c r="C196" t="s">
        <v>19</v>
      </c>
      <c r="D196" t="s">
        <v>10</v>
      </c>
      <c r="F196">
        <v>0</v>
      </c>
      <c r="G196">
        <v>50</v>
      </c>
      <c r="H196">
        <v>0</v>
      </c>
    </row>
    <row r="197" spans="1:8" x14ac:dyDescent="0.25">
      <c r="A197">
        <v>196</v>
      </c>
      <c r="B197" t="s">
        <v>152</v>
      </c>
      <c r="C197" t="s">
        <v>9</v>
      </c>
      <c r="D197" t="s">
        <v>16</v>
      </c>
      <c r="E197" t="s">
        <v>28</v>
      </c>
      <c r="F197">
        <v>1</v>
      </c>
      <c r="G197">
        <v>80</v>
      </c>
      <c r="H197">
        <v>80</v>
      </c>
    </row>
    <row r="198" spans="1:8" x14ac:dyDescent="0.25">
      <c r="A198">
        <v>197</v>
      </c>
      <c r="B198" t="s">
        <v>153</v>
      </c>
      <c r="C198" t="s">
        <v>23</v>
      </c>
      <c r="D198" t="s">
        <v>26</v>
      </c>
      <c r="F198">
        <v>4</v>
      </c>
      <c r="G198">
        <v>1500</v>
      </c>
      <c r="H198">
        <v>6090</v>
      </c>
    </row>
    <row r="199" spans="1:8" x14ac:dyDescent="0.25">
      <c r="A199">
        <v>198</v>
      </c>
      <c r="B199" t="s">
        <v>154</v>
      </c>
      <c r="C199" t="s">
        <v>23</v>
      </c>
      <c r="D199" t="s">
        <v>10</v>
      </c>
      <c r="E199" t="s">
        <v>13</v>
      </c>
      <c r="F199">
        <v>-2</v>
      </c>
      <c r="G199">
        <v>1500</v>
      </c>
      <c r="H199">
        <v>-3000</v>
      </c>
    </row>
    <row r="200" spans="1:8" x14ac:dyDescent="0.25">
      <c r="A200">
        <v>199</v>
      </c>
      <c r="B200" t="s">
        <v>140</v>
      </c>
      <c r="C200" t="s">
        <v>9</v>
      </c>
      <c r="D200" t="s">
        <v>26</v>
      </c>
      <c r="E200" t="s">
        <v>13</v>
      </c>
      <c r="F200">
        <v>-3</v>
      </c>
      <c r="G200">
        <v>80</v>
      </c>
      <c r="H200">
        <v>-240</v>
      </c>
    </row>
    <row r="201" spans="1:8" x14ac:dyDescent="0.25">
      <c r="A201">
        <v>200</v>
      </c>
      <c r="B201" t="s">
        <v>117</v>
      </c>
      <c r="C201" t="s">
        <v>9</v>
      </c>
      <c r="D201" t="s">
        <v>26</v>
      </c>
      <c r="E201" t="s">
        <v>28</v>
      </c>
      <c r="F201">
        <v>2</v>
      </c>
      <c r="G201">
        <v>50</v>
      </c>
      <c r="H201">
        <v>100</v>
      </c>
    </row>
    <row r="202" spans="1:8" x14ac:dyDescent="0.25">
      <c r="A202">
        <v>201</v>
      </c>
      <c r="B202" t="s">
        <v>63</v>
      </c>
      <c r="C202" t="s">
        <v>15</v>
      </c>
      <c r="D202" t="s">
        <v>20</v>
      </c>
      <c r="E202" t="s">
        <v>21</v>
      </c>
      <c r="F202">
        <v>2</v>
      </c>
      <c r="G202">
        <v>1500</v>
      </c>
      <c r="H202">
        <v>3000</v>
      </c>
    </row>
    <row r="203" spans="1:8" x14ac:dyDescent="0.25">
      <c r="A203">
        <v>202</v>
      </c>
      <c r="B203" t="s">
        <v>155</v>
      </c>
      <c r="C203" t="s">
        <v>23</v>
      </c>
      <c r="D203" t="s">
        <v>12</v>
      </c>
      <c r="E203" t="s">
        <v>17</v>
      </c>
      <c r="F203">
        <v>-3</v>
      </c>
      <c r="G203">
        <v>80</v>
      </c>
      <c r="H203">
        <v>-196</v>
      </c>
    </row>
    <row r="204" spans="1:8" x14ac:dyDescent="0.25">
      <c r="A204">
        <v>203</v>
      </c>
      <c r="B204" t="s">
        <v>137</v>
      </c>
      <c r="D204" t="s">
        <v>20</v>
      </c>
      <c r="E204" t="s">
        <v>21</v>
      </c>
      <c r="F204">
        <v>-1</v>
      </c>
      <c r="G204">
        <v>700</v>
      </c>
      <c r="H204">
        <v>-700</v>
      </c>
    </row>
    <row r="205" spans="1:8" x14ac:dyDescent="0.25">
      <c r="A205">
        <v>204</v>
      </c>
      <c r="B205" t="s">
        <v>156</v>
      </c>
      <c r="D205" t="s">
        <v>26</v>
      </c>
      <c r="E205" t="s">
        <v>28</v>
      </c>
      <c r="F205">
        <v>0</v>
      </c>
      <c r="G205">
        <v>50</v>
      </c>
      <c r="H205">
        <v>0</v>
      </c>
    </row>
    <row r="206" spans="1:8" x14ac:dyDescent="0.25">
      <c r="A206">
        <v>205</v>
      </c>
      <c r="B206" t="s">
        <v>30</v>
      </c>
      <c r="D206" t="s">
        <v>16</v>
      </c>
      <c r="E206" t="s">
        <v>21</v>
      </c>
      <c r="F206">
        <v>4</v>
      </c>
      <c r="G206">
        <v>700</v>
      </c>
      <c r="H206">
        <v>2880</v>
      </c>
    </row>
    <row r="207" spans="1:8" x14ac:dyDescent="0.25">
      <c r="A207">
        <v>206</v>
      </c>
      <c r="B207" t="s">
        <v>157</v>
      </c>
      <c r="C207" t="s">
        <v>23</v>
      </c>
      <c r="D207" t="s">
        <v>26</v>
      </c>
      <c r="E207" t="s">
        <v>21</v>
      </c>
      <c r="F207">
        <v>4</v>
      </c>
      <c r="G207">
        <v>1500</v>
      </c>
      <c r="H207">
        <v>6000</v>
      </c>
    </row>
    <row r="208" spans="1:8" x14ac:dyDescent="0.25">
      <c r="A208">
        <v>207</v>
      </c>
      <c r="B208" t="s">
        <v>27</v>
      </c>
      <c r="C208" t="s">
        <v>9</v>
      </c>
      <c r="D208" t="s">
        <v>20</v>
      </c>
      <c r="F208">
        <v>0</v>
      </c>
      <c r="G208">
        <v>700</v>
      </c>
      <c r="H208">
        <v>0</v>
      </c>
    </row>
    <row r="209" spans="1:8" x14ac:dyDescent="0.25">
      <c r="A209">
        <v>208</v>
      </c>
      <c r="B209" t="s">
        <v>155</v>
      </c>
      <c r="D209" t="s">
        <v>20</v>
      </c>
      <c r="E209" t="s">
        <v>13</v>
      </c>
      <c r="F209">
        <v>5</v>
      </c>
      <c r="G209">
        <v>700</v>
      </c>
      <c r="H209">
        <v>3500</v>
      </c>
    </row>
    <row r="210" spans="1:8" x14ac:dyDescent="0.25">
      <c r="A210">
        <v>209</v>
      </c>
      <c r="B210" t="s">
        <v>158</v>
      </c>
      <c r="C210" t="s">
        <v>9</v>
      </c>
      <c r="D210" t="s">
        <v>16</v>
      </c>
      <c r="E210" t="s">
        <v>13</v>
      </c>
      <c r="F210">
        <v>4</v>
      </c>
      <c r="G210">
        <v>700</v>
      </c>
      <c r="H210">
        <v>2800</v>
      </c>
    </row>
    <row r="211" spans="1:8" x14ac:dyDescent="0.25">
      <c r="A211">
        <v>210</v>
      </c>
      <c r="B211" t="s">
        <v>64</v>
      </c>
      <c r="C211" t="s">
        <v>15</v>
      </c>
      <c r="D211" t="s">
        <v>12</v>
      </c>
      <c r="E211" t="s">
        <v>21</v>
      </c>
      <c r="F211">
        <v>-2</v>
      </c>
      <c r="G211">
        <v>80</v>
      </c>
      <c r="H211">
        <v>-160</v>
      </c>
    </row>
    <row r="212" spans="1:8" x14ac:dyDescent="0.25">
      <c r="A212">
        <v>211</v>
      </c>
      <c r="B212" t="s">
        <v>159</v>
      </c>
      <c r="C212" t="s">
        <v>23</v>
      </c>
      <c r="D212" t="s">
        <v>26</v>
      </c>
      <c r="E212" t="s">
        <v>13</v>
      </c>
      <c r="F212">
        <v>2</v>
      </c>
      <c r="G212">
        <v>700</v>
      </c>
      <c r="H212">
        <v>1400</v>
      </c>
    </row>
    <row r="213" spans="1:8" x14ac:dyDescent="0.25">
      <c r="A213">
        <v>212</v>
      </c>
      <c r="B213" t="s">
        <v>160</v>
      </c>
      <c r="C213" t="s">
        <v>9</v>
      </c>
      <c r="D213" t="s">
        <v>10</v>
      </c>
      <c r="E213" t="s">
        <v>13</v>
      </c>
      <c r="F213">
        <v>4</v>
      </c>
      <c r="G213">
        <v>80</v>
      </c>
      <c r="H213">
        <v>350</v>
      </c>
    </row>
    <row r="214" spans="1:8" x14ac:dyDescent="0.25">
      <c r="A214">
        <v>213</v>
      </c>
      <c r="B214" t="s">
        <v>161</v>
      </c>
      <c r="C214" t="s">
        <v>9</v>
      </c>
      <c r="D214" t="s">
        <v>12</v>
      </c>
      <c r="E214" t="s">
        <v>17</v>
      </c>
      <c r="F214">
        <v>0</v>
      </c>
      <c r="G214">
        <v>700</v>
      </c>
      <c r="H214">
        <v>0</v>
      </c>
    </row>
    <row r="215" spans="1:8" x14ac:dyDescent="0.25">
      <c r="A215">
        <v>214</v>
      </c>
      <c r="B215" t="s">
        <v>162</v>
      </c>
      <c r="C215" t="s">
        <v>23</v>
      </c>
      <c r="D215" t="s">
        <v>10</v>
      </c>
      <c r="E215" t="s">
        <v>17</v>
      </c>
      <c r="F215">
        <v>4</v>
      </c>
      <c r="G215">
        <v>1500</v>
      </c>
      <c r="H215">
        <v>6033</v>
      </c>
    </row>
    <row r="216" spans="1:8" x14ac:dyDescent="0.25">
      <c r="A216">
        <v>215</v>
      </c>
      <c r="B216" t="s">
        <v>142</v>
      </c>
      <c r="D216" t="s">
        <v>10</v>
      </c>
      <c r="E216" t="s">
        <v>28</v>
      </c>
      <c r="F216">
        <v>2</v>
      </c>
      <c r="G216">
        <v>50</v>
      </c>
      <c r="H216">
        <v>100</v>
      </c>
    </row>
    <row r="217" spans="1:8" x14ac:dyDescent="0.25">
      <c r="A217">
        <v>216</v>
      </c>
      <c r="B217" t="s">
        <v>163</v>
      </c>
      <c r="C217" t="s">
        <v>15</v>
      </c>
      <c r="D217" t="s">
        <v>10</v>
      </c>
      <c r="F217">
        <v>3</v>
      </c>
      <c r="G217">
        <v>80</v>
      </c>
      <c r="H217">
        <v>240</v>
      </c>
    </row>
    <row r="218" spans="1:8" x14ac:dyDescent="0.25">
      <c r="A218">
        <v>217</v>
      </c>
      <c r="B218" t="s">
        <v>164</v>
      </c>
      <c r="C218" t="s">
        <v>15</v>
      </c>
      <c r="D218" t="s">
        <v>12</v>
      </c>
      <c r="E218" t="s">
        <v>28</v>
      </c>
      <c r="F218">
        <v>2</v>
      </c>
      <c r="G218">
        <v>700</v>
      </c>
      <c r="H218">
        <v>1400</v>
      </c>
    </row>
    <row r="219" spans="1:8" x14ac:dyDescent="0.25">
      <c r="A219">
        <v>218</v>
      </c>
      <c r="B219" t="s">
        <v>165</v>
      </c>
      <c r="C219" t="s">
        <v>23</v>
      </c>
      <c r="D219" t="s">
        <v>16</v>
      </c>
      <c r="E219" t="s">
        <v>17</v>
      </c>
      <c r="F219">
        <v>5</v>
      </c>
      <c r="G219">
        <v>1500</v>
      </c>
      <c r="H219">
        <v>7531</v>
      </c>
    </row>
    <row r="220" spans="1:8" x14ac:dyDescent="0.25">
      <c r="A220">
        <v>219</v>
      </c>
      <c r="B220" t="s">
        <v>149</v>
      </c>
      <c r="C220" t="s">
        <v>23</v>
      </c>
      <c r="D220" t="s">
        <v>26</v>
      </c>
      <c r="E220" t="s">
        <v>21</v>
      </c>
      <c r="F220">
        <v>-2</v>
      </c>
      <c r="G220">
        <v>50</v>
      </c>
      <c r="H220">
        <v>-100</v>
      </c>
    </row>
    <row r="221" spans="1:8" x14ac:dyDescent="0.25">
      <c r="A221">
        <v>220</v>
      </c>
      <c r="B221" t="s">
        <v>166</v>
      </c>
      <c r="D221" t="s">
        <v>10</v>
      </c>
      <c r="E221" t="s">
        <v>17</v>
      </c>
      <c r="F221">
        <v>1</v>
      </c>
      <c r="G221">
        <v>80</v>
      </c>
      <c r="H221">
        <v>80</v>
      </c>
    </row>
    <row r="222" spans="1:8" x14ac:dyDescent="0.25">
      <c r="A222">
        <v>221</v>
      </c>
      <c r="B222" t="s">
        <v>40</v>
      </c>
      <c r="D222" t="s">
        <v>10</v>
      </c>
      <c r="F222">
        <v>0</v>
      </c>
      <c r="G222">
        <v>80</v>
      </c>
      <c r="H222">
        <v>0</v>
      </c>
    </row>
    <row r="223" spans="1:8" x14ac:dyDescent="0.25">
      <c r="A223">
        <v>222</v>
      </c>
      <c r="B223" t="s">
        <v>167</v>
      </c>
      <c r="C223" t="s">
        <v>15</v>
      </c>
      <c r="D223" t="s">
        <v>16</v>
      </c>
      <c r="E223" t="s">
        <v>21</v>
      </c>
      <c r="F223">
        <v>-2</v>
      </c>
      <c r="G223">
        <v>50</v>
      </c>
      <c r="H223">
        <v>-100</v>
      </c>
    </row>
    <row r="224" spans="1:8" x14ac:dyDescent="0.25">
      <c r="A224">
        <v>223</v>
      </c>
      <c r="B224" t="s">
        <v>48</v>
      </c>
      <c r="C224" t="s">
        <v>19</v>
      </c>
      <c r="D224" t="s">
        <v>20</v>
      </c>
      <c r="F224">
        <v>0</v>
      </c>
      <c r="G224">
        <v>700</v>
      </c>
      <c r="H224">
        <v>0</v>
      </c>
    </row>
    <row r="225" spans="1:8" x14ac:dyDescent="0.25">
      <c r="A225">
        <v>224</v>
      </c>
      <c r="B225" t="s">
        <v>22</v>
      </c>
      <c r="C225" t="s">
        <v>23</v>
      </c>
      <c r="D225" t="s">
        <v>12</v>
      </c>
      <c r="F225">
        <v>-3</v>
      </c>
      <c r="G225">
        <v>50</v>
      </c>
      <c r="H225">
        <v>-96</v>
      </c>
    </row>
    <row r="226" spans="1:8" x14ac:dyDescent="0.25">
      <c r="A226">
        <v>225</v>
      </c>
      <c r="B226" t="s">
        <v>168</v>
      </c>
      <c r="D226" t="s">
        <v>26</v>
      </c>
      <c r="F226">
        <v>0</v>
      </c>
      <c r="G226">
        <v>700</v>
      </c>
      <c r="H226">
        <v>0</v>
      </c>
    </row>
    <row r="227" spans="1:8" x14ac:dyDescent="0.25">
      <c r="A227">
        <v>226</v>
      </c>
      <c r="B227" t="s">
        <v>169</v>
      </c>
      <c r="C227" t="s">
        <v>23</v>
      </c>
      <c r="D227" t="s">
        <v>20</v>
      </c>
      <c r="F227">
        <v>-3</v>
      </c>
      <c r="G227">
        <v>1500</v>
      </c>
      <c r="H227">
        <v>-4500</v>
      </c>
    </row>
    <row r="228" spans="1:8" x14ac:dyDescent="0.25">
      <c r="A228">
        <v>227</v>
      </c>
      <c r="B228" t="s">
        <v>170</v>
      </c>
      <c r="C228" t="s">
        <v>15</v>
      </c>
      <c r="D228" t="s">
        <v>16</v>
      </c>
      <c r="E228" t="s">
        <v>28</v>
      </c>
      <c r="F228">
        <v>4</v>
      </c>
      <c r="G228">
        <v>700</v>
      </c>
      <c r="H228">
        <v>2800</v>
      </c>
    </row>
    <row r="229" spans="1:8" x14ac:dyDescent="0.25">
      <c r="A229">
        <v>228</v>
      </c>
      <c r="B229" t="s">
        <v>111</v>
      </c>
      <c r="D229" t="s">
        <v>10</v>
      </c>
      <c r="E229" t="s">
        <v>13</v>
      </c>
      <c r="F229">
        <v>-3</v>
      </c>
      <c r="G229">
        <v>50</v>
      </c>
      <c r="H229">
        <v>-150</v>
      </c>
    </row>
    <row r="230" spans="1:8" x14ac:dyDescent="0.25">
      <c r="A230">
        <v>229</v>
      </c>
      <c r="B230" t="s">
        <v>171</v>
      </c>
      <c r="C230" t="s">
        <v>19</v>
      </c>
      <c r="D230" t="s">
        <v>26</v>
      </c>
      <c r="E230" t="s">
        <v>21</v>
      </c>
      <c r="F230">
        <v>5</v>
      </c>
      <c r="G230">
        <v>1500</v>
      </c>
      <c r="H230">
        <v>7500</v>
      </c>
    </row>
    <row r="231" spans="1:8" x14ac:dyDescent="0.25">
      <c r="A231">
        <v>230</v>
      </c>
      <c r="B231" t="s">
        <v>64</v>
      </c>
      <c r="C231" t="s">
        <v>23</v>
      </c>
      <c r="D231" t="s">
        <v>16</v>
      </c>
      <c r="E231" t="s">
        <v>21</v>
      </c>
      <c r="F231">
        <v>0</v>
      </c>
      <c r="G231">
        <v>700</v>
      </c>
      <c r="H231">
        <v>0</v>
      </c>
    </row>
    <row r="232" spans="1:8" x14ac:dyDescent="0.25">
      <c r="A232">
        <v>231</v>
      </c>
      <c r="B232" t="s">
        <v>172</v>
      </c>
      <c r="C232" t="s">
        <v>23</v>
      </c>
      <c r="D232" t="s">
        <v>10</v>
      </c>
      <c r="E232" t="s">
        <v>21</v>
      </c>
      <c r="F232">
        <v>-3</v>
      </c>
      <c r="G232">
        <v>700</v>
      </c>
      <c r="H232">
        <v>-2100</v>
      </c>
    </row>
    <row r="233" spans="1:8" x14ac:dyDescent="0.25">
      <c r="A233">
        <v>232</v>
      </c>
      <c r="B233" t="s">
        <v>131</v>
      </c>
      <c r="C233" t="s">
        <v>15</v>
      </c>
      <c r="D233" t="s">
        <v>10</v>
      </c>
      <c r="E233" t="s">
        <v>17</v>
      </c>
      <c r="F233">
        <v>0</v>
      </c>
      <c r="G233">
        <v>50</v>
      </c>
      <c r="H233">
        <v>0</v>
      </c>
    </row>
    <row r="234" spans="1:8" x14ac:dyDescent="0.25">
      <c r="A234">
        <v>233</v>
      </c>
      <c r="B234" t="s">
        <v>173</v>
      </c>
      <c r="C234" t="s">
        <v>23</v>
      </c>
      <c r="D234" t="s">
        <v>20</v>
      </c>
      <c r="F234">
        <v>0</v>
      </c>
      <c r="G234">
        <v>80</v>
      </c>
      <c r="H234">
        <v>0</v>
      </c>
    </row>
    <row r="235" spans="1:8" x14ac:dyDescent="0.25">
      <c r="A235">
        <v>234</v>
      </c>
      <c r="B235" t="s">
        <v>174</v>
      </c>
      <c r="C235" t="s">
        <v>9</v>
      </c>
      <c r="D235" t="s">
        <v>20</v>
      </c>
      <c r="E235" t="s">
        <v>17</v>
      </c>
      <c r="F235">
        <v>-2</v>
      </c>
      <c r="G235">
        <v>80</v>
      </c>
      <c r="H235">
        <v>-135</v>
      </c>
    </row>
    <row r="236" spans="1:8" x14ac:dyDescent="0.25">
      <c r="A236">
        <v>235</v>
      </c>
      <c r="B236" t="s">
        <v>167</v>
      </c>
      <c r="C236" t="s">
        <v>15</v>
      </c>
      <c r="D236" t="s">
        <v>16</v>
      </c>
      <c r="E236" t="s">
        <v>17</v>
      </c>
      <c r="F236">
        <v>5</v>
      </c>
      <c r="G236">
        <v>700</v>
      </c>
      <c r="H236">
        <v>3500</v>
      </c>
    </row>
    <row r="237" spans="1:8" x14ac:dyDescent="0.25">
      <c r="A237">
        <v>236</v>
      </c>
      <c r="B237" t="s">
        <v>27</v>
      </c>
      <c r="C237" t="s">
        <v>23</v>
      </c>
      <c r="D237" t="s">
        <v>20</v>
      </c>
      <c r="E237" t="s">
        <v>28</v>
      </c>
      <c r="F237">
        <v>4</v>
      </c>
      <c r="G237">
        <v>700</v>
      </c>
      <c r="H237">
        <v>2854</v>
      </c>
    </row>
    <row r="238" spans="1:8" x14ac:dyDescent="0.25">
      <c r="A238">
        <v>237</v>
      </c>
      <c r="B238" t="s">
        <v>67</v>
      </c>
      <c r="C238" t="s">
        <v>23</v>
      </c>
      <c r="D238" t="s">
        <v>26</v>
      </c>
      <c r="E238" t="s">
        <v>17</v>
      </c>
      <c r="F238">
        <v>4</v>
      </c>
      <c r="G238">
        <v>1500</v>
      </c>
      <c r="H238">
        <v>6000</v>
      </c>
    </row>
    <row r="239" spans="1:8" x14ac:dyDescent="0.25">
      <c r="A239">
        <v>238</v>
      </c>
      <c r="B239" t="s">
        <v>59</v>
      </c>
      <c r="C239" t="s">
        <v>15</v>
      </c>
      <c r="D239" t="s">
        <v>16</v>
      </c>
      <c r="E239" t="s">
        <v>13</v>
      </c>
      <c r="F239">
        <v>2</v>
      </c>
      <c r="G239">
        <v>1500</v>
      </c>
      <c r="H239">
        <v>3000</v>
      </c>
    </row>
    <row r="240" spans="1:8" x14ac:dyDescent="0.25">
      <c r="A240">
        <v>239</v>
      </c>
      <c r="B240" t="s">
        <v>152</v>
      </c>
      <c r="C240" t="s">
        <v>15</v>
      </c>
      <c r="D240" t="s">
        <v>10</v>
      </c>
      <c r="F240">
        <v>1</v>
      </c>
      <c r="G240">
        <v>1500</v>
      </c>
      <c r="H240">
        <v>1500</v>
      </c>
    </row>
    <row r="241" spans="1:8" x14ac:dyDescent="0.25">
      <c r="A241">
        <v>240</v>
      </c>
      <c r="B241" t="s">
        <v>47</v>
      </c>
      <c r="C241" t="s">
        <v>19</v>
      </c>
      <c r="D241" t="s">
        <v>10</v>
      </c>
      <c r="E241" t="s">
        <v>28</v>
      </c>
      <c r="F241">
        <v>0</v>
      </c>
      <c r="G241">
        <v>80</v>
      </c>
      <c r="H241">
        <v>0</v>
      </c>
    </row>
    <row r="242" spans="1:8" x14ac:dyDescent="0.25">
      <c r="A242">
        <v>241</v>
      </c>
      <c r="B242" t="s">
        <v>175</v>
      </c>
      <c r="C242" t="s">
        <v>15</v>
      </c>
      <c r="D242" t="s">
        <v>26</v>
      </c>
      <c r="E242" t="s">
        <v>17</v>
      </c>
      <c r="F242">
        <v>-1</v>
      </c>
      <c r="G242">
        <v>1500</v>
      </c>
      <c r="H242">
        <v>-1500</v>
      </c>
    </row>
    <row r="243" spans="1:8" x14ac:dyDescent="0.25">
      <c r="A243">
        <v>242</v>
      </c>
      <c r="B243" t="s">
        <v>176</v>
      </c>
      <c r="C243" t="s">
        <v>23</v>
      </c>
      <c r="D243" t="s">
        <v>12</v>
      </c>
      <c r="F243">
        <v>-2</v>
      </c>
      <c r="G243">
        <v>1500</v>
      </c>
      <c r="H243">
        <v>-3000</v>
      </c>
    </row>
    <row r="244" spans="1:8" x14ac:dyDescent="0.25">
      <c r="A244">
        <v>243</v>
      </c>
      <c r="B244" t="s">
        <v>177</v>
      </c>
      <c r="D244" t="s">
        <v>26</v>
      </c>
      <c r="E244" t="s">
        <v>17</v>
      </c>
      <c r="F244">
        <v>0</v>
      </c>
      <c r="G244">
        <v>80</v>
      </c>
      <c r="H244">
        <v>0</v>
      </c>
    </row>
    <row r="245" spans="1:8" x14ac:dyDescent="0.25">
      <c r="A245">
        <v>244</v>
      </c>
      <c r="B245" t="s">
        <v>58</v>
      </c>
      <c r="C245" t="s">
        <v>23</v>
      </c>
      <c r="D245" t="s">
        <v>10</v>
      </c>
      <c r="E245" t="s">
        <v>13</v>
      </c>
      <c r="F245">
        <v>0</v>
      </c>
      <c r="G245">
        <v>1500</v>
      </c>
      <c r="H245">
        <v>98</v>
      </c>
    </row>
    <row r="246" spans="1:8" x14ac:dyDescent="0.25">
      <c r="A246">
        <v>245</v>
      </c>
      <c r="B246" t="s">
        <v>68</v>
      </c>
      <c r="C246" t="s">
        <v>19</v>
      </c>
      <c r="D246" t="s">
        <v>26</v>
      </c>
      <c r="E246" t="s">
        <v>13</v>
      </c>
      <c r="F246">
        <v>3</v>
      </c>
      <c r="G246">
        <v>1500</v>
      </c>
      <c r="H246">
        <v>4500</v>
      </c>
    </row>
    <row r="247" spans="1:8" x14ac:dyDescent="0.25">
      <c r="A247">
        <v>246</v>
      </c>
      <c r="B247" t="s">
        <v>140</v>
      </c>
      <c r="C247" t="s">
        <v>23</v>
      </c>
      <c r="D247" t="s">
        <v>12</v>
      </c>
      <c r="E247" t="s">
        <v>17</v>
      </c>
      <c r="F247">
        <v>0</v>
      </c>
      <c r="G247">
        <v>1500</v>
      </c>
      <c r="H247">
        <v>0</v>
      </c>
    </row>
    <row r="248" spans="1:8" x14ac:dyDescent="0.25">
      <c r="A248">
        <v>247</v>
      </c>
      <c r="B248" t="s">
        <v>178</v>
      </c>
      <c r="C248" t="s">
        <v>9</v>
      </c>
      <c r="D248" t="s">
        <v>20</v>
      </c>
      <c r="E248" t="s">
        <v>21</v>
      </c>
      <c r="F248">
        <v>3</v>
      </c>
      <c r="G248">
        <v>1500</v>
      </c>
      <c r="H248">
        <v>4500</v>
      </c>
    </row>
    <row r="249" spans="1:8" x14ac:dyDescent="0.25">
      <c r="A249">
        <v>248</v>
      </c>
      <c r="B249" t="s">
        <v>49</v>
      </c>
      <c r="C249" t="s">
        <v>15</v>
      </c>
      <c r="D249" t="s">
        <v>16</v>
      </c>
      <c r="E249" t="s">
        <v>28</v>
      </c>
      <c r="F249">
        <v>-1</v>
      </c>
      <c r="G249">
        <v>700</v>
      </c>
      <c r="H249">
        <v>-700</v>
      </c>
    </row>
    <row r="250" spans="1:8" x14ac:dyDescent="0.25">
      <c r="A250">
        <v>249</v>
      </c>
      <c r="B250" t="s">
        <v>168</v>
      </c>
      <c r="D250" t="s">
        <v>10</v>
      </c>
      <c r="E250" t="s">
        <v>28</v>
      </c>
      <c r="F250">
        <v>0</v>
      </c>
      <c r="G250">
        <v>700</v>
      </c>
      <c r="H250">
        <v>0</v>
      </c>
    </row>
    <row r="251" spans="1:8" x14ac:dyDescent="0.25">
      <c r="A251">
        <v>250</v>
      </c>
      <c r="B251" t="s">
        <v>31</v>
      </c>
      <c r="C251" t="s">
        <v>19</v>
      </c>
      <c r="D251" t="s">
        <v>20</v>
      </c>
      <c r="E251" t="s">
        <v>17</v>
      </c>
      <c r="F251">
        <v>5</v>
      </c>
      <c r="G251">
        <v>700</v>
      </c>
      <c r="H251">
        <v>3589</v>
      </c>
    </row>
    <row r="252" spans="1:8" x14ac:dyDescent="0.25">
      <c r="A252">
        <v>251</v>
      </c>
      <c r="B252" t="s">
        <v>179</v>
      </c>
      <c r="C252" t="s">
        <v>15</v>
      </c>
      <c r="D252" t="s">
        <v>26</v>
      </c>
      <c r="E252" t="s">
        <v>13</v>
      </c>
      <c r="F252">
        <v>3</v>
      </c>
      <c r="G252">
        <v>50</v>
      </c>
      <c r="H252">
        <v>150</v>
      </c>
    </row>
    <row r="253" spans="1:8" x14ac:dyDescent="0.25">
      <c r="A253">
        <v>252</v>
      </c>
      <c r="B253" t="s">
        <v>154</v>
      </c>
      <c r="C253" t="s">
        <v>9</v>
      </c>
      <c r="D253" t="s">
        <v>20</v>
      </c>
      <c r="E253" t="s">
        <v>17</v>
      </c>
      <c r="F253">
        <v>0</v>
      </c>
      <c r="G253">
        <v>80</v>
      </c>
      <c r="H253">
        <v>0</v>
      </c>
    </row>
    <row r="254" spans="1:8" x14ac:dyDescent="0.25">
      <c r="A254">
        <v>253</v>
      </c>
      <c r="B254" t="s">
        <v>180</v>
      </c>
      <c r="C254" t="s">
        <v>19</v>
      </c>
      <c r="D254" t="s">
        <v>10</v>
      </c>
      <c r="E254" t="s">
        <v>28</v>
      </c>
      <c r="F254">
        <v>0</v>
      </c>
      <c r="G254">
        <v>80</v>
      </c>
      <c r="H254">
        <v>0</v>
      </c>
    </row>
    <row r="255" spans="1:8" x14ac:dyDescent="0.25">
      <c r="A255">
        <v>254</v>
      </c>
      <c r="B255" t="s">
        <v>153</v>
      </c>
      <c r="D255" t="s">
        <v>20</v>
      </c>
      <c r="E255" t="s">
        <v>17</v>
      </c>
      <c r="F255">
        <v>-2</v>
      </c>
      <c r="G255">
        <v>80</v>
      </c>
      <c r="H255">
        <v>-160</v>
      </c>
    </row>
    <row r="256" spans="1:8" x14ac:dyDescent="0.25">
      <c r="A256">
        <v>255</v>
      </c>
      <c r="B256" t="s">
        <v>181</v>
      </c>
      <c r="C256" t="s">
        <v>19</v>
      </c>
      <c r="D256" t="s">
        <v>16</v>
      </c>
      <c r="E256" t="s">
        <v>21</v>
      </c>
      <c r="F256">
        <v>1</v>
      </c>
      <c r="G256">
        <v>700</v>
      </c>
      <c r="H256">
        <v>784</v>
      </c>
    </row>
    <row r="257" spans="1:8" x14ac:dyDescent="0.25">
      <c r="A257">
        <v>256</v>
      </c>
      <c r="B257" t="s">
        <v>182</v>
      </c>
      <c r="C257" t="s">
        <v>19</v>
      </c>
      <c r="D257" t="s">
        <v>16</v>
      </c>
      <c r="E257" t="s">
        <v>13</v>
      </c>
      <c r="F257">
        <v>2</v>
      </c>
      <c r="G257">
        <v>50</v>
      </c>
      <c r="H257">
        <v>100</v>
      </c>
    </row>
    <row r="258" spans="1:8" x14ac:dyDescent="0.25">
      <c r="A258">
        <v>257</v>
      </c>
      <c r="B258" t="s">
        <v>183</v>
      </c>
      <c r="C258" t="s">
        <v>19</v>
      </c>
      <c r="D258" t="s">
        <v>12</v>
      </c>
      <c r="E258" t="s">
        <v>13</v>
      </c>
      <c r="F258">
        <v>-3</v>
      </c>
      <c r="G258">
        <v>50</v>
      </c>
      <c r="H258">
        <v>-98</v>
      </c>
    </row>
    <row r="259" spans="1:8" x14ac:dyDescent="0.25">
      <c r="A259">
        <v>258</v>
      </c>
      <c r="B259" t="s">
        <v>32</v>
      </c>
      <c r="C259" t="s">
        <v>19</v>
      </c>
      <c r="D259" t="s">
        <v>26</v>
      </c>
      <c r="F259">
        <v>0</v>
      </c>
      <c r="G259">
        <v>80</v>
      </c>
      <c r="H259">
        <v>0</v>
      </c>
    </row>
    <row r="260" spans="1:8" x14ac:dyDescent="0.25">
      <c r="A260">
        <v>259</v>
      </c>
      <c r="B260" t="s">
        <v>63</v>
      </c>
      <c r="C260" t="s">
        <v>9</v>
      </c>
      <c r="D260" t="s">
        <v>20</v>
      </c>
      <c r="E260" t="s">
        <v>28</v>
      </c>
      <c r="F260">
        <v>-1</v>
      </c>
      <c r="G260">
        <v>1500</v>
      </c>
      <c r="H260">
        <v>-1500</v>
      </c>
    </row>
    <row r="261" spans="1:8" x14ac:dyDescent="0.25">
      <c r="A261">
        <v>260</v>
      </c>
      <c r="B261" t="s">
        <v>181</v>
      </c>
      <c r="C261" t="s">
        <v>15</v>
      </c>
      <c r="D261" t="s">
        <v>12</v>
      </c>
      <c r="E261" t="s">
        <v>28</v>
      </c>
      <c r="F261">
        <v>5</v>
      </c>
      <c r="G261">
        <v>700</v>
      </c>
      <c r="H261">
        <v>3500</v>
      </c>
    </row>
    <row r="262" spans="1:8" x14ac:dyDescent="0.25">
      <c r="A262">
        <v>261</v>
      </c>
      <c r="B262" t="s">
        <v>148</v>
      </c>
      <c r="C262" t="s">
        <v>19</v>
      </c>
      <c r="D262" t="s">
        <v>12</v>
      </c>
      <c r="E262" t="s">
        <v>13</v>
      </c>
      <c r="F262">
        <v>-3</v>
      </c>
      <c r="G262">
        <v>50</v>
      </c>
      <c r="H262">
        <v>-150</v>
      </c>
    </row>
    <row r="263" spans="1:8" x14ac:dyDescent="0.25">
      <c r="A263">
        <v>262</v>
      </c>
      <c r="B263" t="s">
        <v>167</v>
      </c>
      <c r="C263" t="s">
        <v>9</v>
      </c>
      <c r="D263" t="s">
        <v>20</v>
      </c>
      <c r="E263" t="s">
        <v>21</v>
      </c>
      <c r="F263">
        <v>5</v>
      </c>
      <c r="G263">
        <v>1500</v>
      </c>
      <c r="H263">
        <v>7500</v>
      </c>
    </row>
    <row r="264" spans="1:8" x14ac:dyDescent="0.25">
      <c r="A264">
        <v>263</v>
      </c>
      <c r="B264" t="s">
        <v>111</v>
      </c>
      <c r="D264" t="s">
        <v>20</v>
      </c>
      <c r="E264" t="s">
        <v>21</v>
      </c>
      <c r="F264">
        <v>-3</v>
      </c>
      <c r="G264">
        <v>700</v>
      </c>
      <c r="H264">
        <v>-2100</v>
      </c>
    </row>
    <row r="265" spans="1:8" x14ac:dyDescent="0.25">
      <c r="A265">
        <v>264</v>
      </c>
      <c r="B265" t="s">
        <v>71</v>
      </c>
      <c r="D265" t="s">
        <v>26</v>
      </c>
      <c r="E265" t="s">
        <v>17</v>
      </c>
      <c r="F265">
        <v>5</v>
      </c>
      <c r="G265">
        <v>700</v>
      </c>
      <c r="H265">
        <v>3570</v>
      </c>
    </row>
    <row r="266" spans="1:8" x14ac:dyDescent="0.25">
      <c r="A266">
        <v>265</v>
      </c>
      <c r="B266" t="s">
        <v>126</v>
      </c>
      <c r="C266" t="s">
        <v>9</v>
      </c>
      <c r="D266" t="s">
        <v>12</v>
      </c>
      <c r="E266" t="s">
        <v>28</v>
      </c>
      <c r="F266">
        <v>5</v>
      </c>
      <c r="G266">
        <v>80</v>
      </c>
      <c r="H266">
        <v>400</v>
      </c>
    </row>
    <row r="267" spans="1:8" x14ac:dyDescent="0.25">
      <c r="A267">
        <v>266</v>
      </c>
      <c r="B267" t="s">
        <v>184</v>
      </c>
      <c r="C267" t="s">
        <v>23</v>
      </c>
      <c r="D267" t="s">
        <v>20</v>
      </c>
      <c r="F267">
        <v>3</v>
      </c>
      <c r="G267">
        <v>700</v>
      </c>
      <c r="H267">
        <v>2100</v>
      </c>
    </row>
    <row r="268" spans="1:8" x14ac:dyDescent="0.25">
      <c r="A268">
        <v>267</v>
      </c>
      <c r="B268" t="s">
        <v>185</v>
      </c>
      <c r="C268" t="s">
        <v>19</v>
      </c>
      <c r="D268" t="s">
        <v>16</v>
      </c>
      <c r="E268" t="s">
        <v>17</v>
      </c>
      <c r="F268">
        <v>-3</v>
      </c>
      <c r="G268">
        <v>50</v>
      </c>
      <c r="H268">
        <v>-150</v>
      </c>
    </row>
    <row r="269" spans="1:8" x14ac:dyDescent="0.25">
      <c r="A269">
        <v>268</v>
      </c>
      <c r="B269" t="s">
        <v>85</v>
      </c>
      <c r="C269" t="s">
        <v>15</v>
      </c>
      <c r="D269" t="s">
        <v>20</v>
      </c>
      <c r="E269" t="s">
        <v>21</v>
      </c>
      <c r="F269">
        <v>-2</v>
      </c>
      <c r="G269">
        <v>80</v>
      </c>
      <c r="H269">
        <v>-160</v>
      </c>
    </row>
    <row r="270" spans="1:8" x14ac:dyDescent="0.25">
      <c r="A270">
        <v>269</v>
      </c>
      <c r="B270" t="s">
        <v>186</v>
      </c>
      <c r="C270" t="s">
        <v>9</v>
      </c>
      <c r="D270" t="s">
        <v>12</v>
      </c>
      <c r="E270" t="s">
        <v>21</v>
      </c>
      <c r="F270">
        <v>0</v>
      </c>
      <c r="G270">
        <v>700</v>
      </c>
      <c r="H270">
        <v>76</v>
      </c>
    </row>
    <row r="271" spans="1:8" x14ac:dyDescent="0.25">
      <c r="A271">
        <v>270</v>
      </c>
      <c r="B271" t="s">
        <v>187</v>
      </c>
      <c r="C271" t="s">
        <v>9</v>
      </c>
      <c r="D271" t="s">
        <v>16</v>
      </c>
      <c r="E271" t="s">
        <v>28</v>
      </c>
      <c r="F271">
        <v>-2</v>
      </c>
      <c r="G271">
        <v>80</v>
      </c>
      <c r="H271">
        <v>-146</v>
      </c>
    </row>
    <row r="272" spans="1:8" x14ac:dyDescent="0.25">
      <c r="A272">
        <v>271</v>
      </c>
      <c r="B272" t="s">
        <v>161</v>
      </c>
      <c r="D272" t="s">
        <v>20</v>
      </c>
      <c r="E272" t="s">
        <v>28</v>
      </c>
      <c r="F272">
        <v>0</v>
      </c>
      <c r="G272">
        <v>50</v>
      </c>
      <c r="H272">
        <v>0</v>
      </c>
    </row>
    <row r="273" spans="1:8" x14ac:dyDescent="0.25">
      <c r="A273">
        <v>272</v>
      </c>
      <c r="B273" t="s">
        <v>188</v>
      </c>
      <c r="C273" t="s">
        <v>23</v>
      </c>
      <c r="D273" t="s">
        <v>12</v>
      </c>
      <c r="E273" t="s">
        <v>21</v>
      </c>
      <c r="F273">
        <v>0</v>
      </c>
      <c r="G273">
        <v>1500</v>
      </c>
      <c r="H273">
        <v>0</v>
      </c>
    </row>
    <row r="274" spans="1:8" x14ac:dyDescent="0.25">
      <c r="A274">
        <v>273</v>
      </c>
      <c r="B274" t="s">
        <v>189</v>
      </c>
      <c r="C274" t="s">
        <v>23</v>
      </c>
      <c r="D274" t="s">
        <v>26</v>
      </c>
      <c r="E274" t="s">
        <v>28</v>
      </c>
      <c r="F274">
        <v>0</v>
      </c>
      <c r="G274">
        <v>80</v>
      </c>
      <c r="H274">
        <v>0</v>
      </c>
    </row>
    <row r="275" spans="1:8" x14ac:dyDescent="0.25">
      <c r="A275">
        <v>274</v>
      </c>
      <c r="B275" t="s">
        <v>116</v>
      </c>
      <c r="D275" t="s">
        <v>16</v>
      </c>
      <c r="E275" t="s">
        <v>17</v>
      </c>
      <c r="F275">
        <v>3</v>
      </c>
      <c r="G275">
        <v>1500</v>
      </c>
      <c r="H275">
        <v>4559</v>
      </c>
    </row>
    <row r="276" spans="1:8" x14ac:dyDescent="0.25">
      <c r="A276">
        <v>275</v>
      </c>
      <c r="B276" t="s">
        <v>190</v>
      </c>
      <c r="D276" t="s">
        <v>20</v>
      </c>
      <c r="E276" t="s">
        <v>17</v>
      </c>
      <c r="F276">
        <v>3</v>
      </c>
      <c r="G276">
        <v>80</v>
      </c>
      <c r="H276">
        <v>240</v>
      </c>
    </row>
    <row r="277" spans="1:8" x14ac:dyDescent="0.25">
      <c r="A277">
        <v>276</v>
      </c>
      <c r="B277" t="s">
        <v>191</v>
      </c>
      <c r="C277" t="s">
        <v>19</v>
      </c>
      <c r="D277" t="s">
        <v>26</v>
      </c>
      <c r="F277">
        <v>-2</v>
      </c>
      <c r="G277">
        <v>80</v>
      </c>
      <c r="H277">
        <v>-110</v>
      </c>
    </row>
    <row r="278" spans="1:8" x14ac:dyDescent="0.25">
      <c r="A278">
        <v>277</v>
      </c>
      <c r="B278" t="s">
        <v>192</v>
      </c>
      <c r="C278" t="s">
        <v>19</v>
      </c>
      <c r="D278" t="s">
        <v>12</v>
      </c>
      <c r="E278" t="s">
        <v>13</v>
      </c>
      <c r="F278">
        <v>5</v>
      </c>
      <c r="G278">
        <v>50</v>
      </c>
      <c r="H278">
        <v>250</v>
      </c>
    </row>
    <row r="279" spans="1:8" x14ac:dyDescent="0.25">
      <c r="A279">
        <v>278</v>
      </c>
      <c r="B279" t="s">
        <v>193</v>
      </c>
      <c r="C279" t="s">
        <v>23</v>
      </c>
      <c r="D279" t="s">
        <v>12</v>
      </c>
      <c r="F279">
        <v>0</v>
      </c>
      <c r="G279">
        <v>1500</v>
      </c>
      <c r="H279">
        <v>0</v>
      </c>
    </row>
    <row r="280" spans="1:8" x14ac:dyDescent="0.25">
      <c r="A280">
        <v>279</v>
      </c>
      <c r="B280" t="s">
        <v>194</v>
      </c>
      <c r="C280" t="s">
        <v>9</v>
      </c>
      <c r="D280" t="s">
        <v>16</v>
      </c>
      <c r="F280">
        <v>0</v>
      </c>
      <c r="G280">
        <v>1500</v>
      </c>
      <c r="H280">
        <v>0</v>
      </c>
    </row>
    <row r="281" spans="1:8" x14ac:dyDescent="0.25">
      <c r="A281">
        <v>280</v>
      </c>
      <c r="B281" t="s">
        <v>127</v>
      </c>
      <c r="C281" t="s">
        <v>23</v>
      </c>
      <c r="D281" t="s">
        <v>10</v>
      </c>
      <c r="E281" t="s">
        <v>28</v>
      </c>
      <c r="F281">
        <v>0</v>
      </c>
      <c r="G281">
        <v>700</v>
      </c>
      <c r="H281">
        <v>0</v>
      </c>
    </row>
    <row r="282" spans="1:8" x14ac:dyDescent="0.25">
      <c r="A282">
        <v>281</v>
      </c>
      <c r="B282" t="s">
        <v>195</v>
      </c>
      <c r="C282" t="s">
        <v>9</v>
      </c>
      <c r="D282" t="s">
        <v>20</v>
      </c>
      <c r="F282">
        <v>-3</v>
      </c>
      <c r="G282">
        <v>80</v>
      </c>
      <c r="H282">
        <v>-240</v>
      </c>
    </row>
    <row r="283" spans="1:8" x14ac:dyDescent="0.25">
      <c r="A283">
        <v>282</v>
      </c>
      <c r="B283" t="s">
        <v>103</v>
      </c>
      <c r="C283" t="s">
        <v>23</v>
      </c>
      <c r="D283" t="s">
        <v>20</v>
      </c>
      <c r="E283" t="s">
        <v>17</v>
      </c>
      <c r="F283">
        <v>0</v>
      </c>
      <c r="G283">
        <v>1500</v>
      </c>
      <c r="H283">
        <v>0</v>
      </c>
    </row>
    <row r="284" spans="1:8" x14ac:dyDescent="0.25">
      <c r="A284">
        <v>283</v>
      </c>
      <c r="B284" t="s">
        <v>100</v>
      </c>
      <c r="C284" t="s">
        <v>15</v>
      </c>
      <c r="D284" t="s">
        <v>16</v>
      </c>
      <c r="E284" t="s">
        <v>21</v>
      </c>
      <c r="F284">
        <v>5</v>
      </c>
      <c r="G284">
        <v>1500</v>
      </c>
      <c r="H284">
        <v>7500</v>
      </c>
    </row>
    <row r="285" spans="1:8" x14ac:dyDescent="0.25">
      <c r="A285">
        <v>284</v>
      </c>
      <c r="B285" t="s">
        <v>74</v>
      </c>
      <c r="D285" t="s">
        <v>16</v>
      </c>
      <c r="E285" t="s">
        <v>13</v>
      </c>
      <c r="F285">
        <v>1</v>
      </c>
      <c r="G285">
        <v>1500</v>
      </c>
      <c r="H285">
        <v>1500</v>
      </c>
    </row>
    <row r="286" spans="1:8" x14ac:dyDescent="0.25">
      <c r="A286">
        <v>285</v>
      </c>
      <c r="B286" t="s">
        <v>196</v>
      </c>
      <c r="D286" t="s">
        <v>20</v>
      </c>
      <c r="E286" t="s">
        <v>13</v>
      </c>
      <c r="F286">
        <v>4</v>
      </c>
      <c r="G286">
        <v>50</v>
      </c>
      <c r="H286">
        <v>200</v>
      </c>
    </row>
    <row r="287" spans="1:8" x14ac:dyDescent="0.25">
      <c r="A287">
        <v>286</v>
      </c>
      <c r="B287" t="s">
        <v>53</v>
      </c>
      <c r="C287" t="s">
        <v>19</v>
      </c>
      <c r="D287" t="s">
        <v>12</v>
      </c>
      <c r="E287" t="s">
        <v>28</v>
      </c>
      <c r="F287">
        <v>2</v>
      </c>
      <c r="G287">
        <v>50</v>
      </c>
      <c r="H287">
        <v>100</v>
      </c>
    </row>
    <row r="288" spans="1:8" x14ac:dyDescent="0.25">
      <c r="A288">
        <v>287</v>
      </c>
      <c r="B288" t="s">
        <v>40</v>
      </c>
      <c r="C288" t="s">
        <v>9</v>
      </c>
      <c r="D288" t="s">
        <v>12</v>
      </c>
      <c r="E288" t="s">
        <v>21</v>
      </c>
      <c r="F288">
        <v>0</v>
      </c>
      <c r="G288">
        <v>1500</v>
      </c>
      <c r="H288">
        <v>0</v>
      </c>
    </row>
    <row r="289" spans="1:8" x14ac:dyDescent="0.25">
      <c r="A289">
        <v>288</v>
      </c>
      <c r="B289" t="s">
        <v>36</v>
      </c>
      <c r="C289" t="s">
        <v>15</v>
      </c>
      <c r="D289" t="s">
        <v>10</v>
      </c>
      <c r="F289">
        <v>0</v>
      </c>
      <c r="G289">
        <v>80</v>
      </c>
      <c r="H289">
        <v>0</v>
      </c>
    </row>
    <row r="290" spans="1:8" x14ac:dyDescent="0.25">
      <c r="A290">
        <v>289</v>
      </c>
      <c r="B290" t="s">
        <v>181</v>
      </c>
      <c r="C290" t="s">
        <v>15</v>
      </c>
      <c r="D290" t="s">
        <v>10</v>
      </c>
      <c r="F290">
        <v>2</v>
      </c>
      <c r="G290">
        <v>50</v>
      </c>
      <c r="H290">
        <v>100</v>
      </c>
    </row>
    <row r="291" spans="1:8" x14ac:dyDescent="0.25">
      <c r="A291">
        <v>290</v>
      </c>
      <c r="B291" t="s">
        <v>106</v>
      </c>
      <c r="D291" t="s">
        <v>12</v>
      </c>
      <c r="E291" t="s">
        <v>28</v>
      </c>
      <c r="F291">
        <v>-2</v>
      </c>
      <c r="G291">
        <v>1500</v>
      </c>
      <c r="H291">
        <v>-3000</v>
      </c>
    </row>
    <row r="292" spans="1:8" x14ac:dyDescent="0.25">
      <c r="A292">
        <v>291</v>
      </c>
      <c r="B292" t="s">
        <v>197</v>
      </c>
      <c r="C292" t="s">
        <v>9</v>
      </c>
      <c r="D292" t="s">
        <v>26</v>
      </c>
      <c r="F292">
        <v>-1</v>
      </c>
      <c r="G292">
        <v>700</v>
      </c>
      <c r="H292">
        <v>-700</v>
      </c>
    </row>
    <row r="293" spans="1:8" x14ac:dyDescent="0.25">
      <c r="A293">
        <v>292</v>
      </c>
      <c r="B293" t="s">
        <v>85</v>
      </c>
      <c r="C293" t="s">
        <v>9</v>
      </c>
      <c r="D293" t="s">
        <v>10</v>
      </c>
      <c r="E293" t="s">
        <v>13</v>
      </c>
      <c r="F293">
        <v>-3</v>
      </c>
      <c r="G293">
        <v>50</v>
      </c>
      <c r="H293">
        <v>-150</v>
      </c>
    </row>
    <row r="294" spans="1:8" x14ac:dyDescent="0.25">
      <c r="A294">
        <v>293</v>
      </c>
      <c r="B294" t="s">
        <v>91</v>
      </c>
      <c r="C294" t="s">
        <v>9</v>
      </c>
      <c r="D294" t="s">
        <v>16</v>
      </c>
      <c r="E294" t="s">
        <v>21</v>
      </c>
      <c r="F294">
        <v>5</v>
      </c>
      <c r="G294">
        <v>50</v>
      </c>
      <c r="H294">
        <v>250</v>
      </c>
    </row>
    <row r="295" spans="1:8" x14ac:dyDescent="0.25">
      <c r="A295">
        <v>294</v>
      </c>
      <c r="B295" t="s">
        <v>198</v>
      </c>
      <c r="C295" t="s">
        <v>19</v>
      </c>
      <c r="D295" t="s">
        <v>12</v>
      </c>
      <c r="E295" t="s">
        <v>13</v>
      </c>
      <c r="F295">
        <v>4</v>
      </c>
      <c r="G295">
        <v>50</v>
      </c>
      <c r="H295">
        <v>200</v>
      </c>
    </row>
    <row r="296" spans="1:8" x14ac:dyDescent="0.25">
      <c r="A296">
        <v>295</v>
      </c>
      <c r="B296" t="s">
        <v>11</v>
      </c>
      <c r="C296" t="s">
        <v>23</v>
      </c>
      <c r="D296" t="s">
        <v>10</v>
      </c>
      <c r="F296">
        <v>-2</v>
      </c>
      <c r="G296">
        <v>700</v>
      </c>
      <c r="H296">
        <v>-1346</v>
      </c>
    </row>
    <row r="297" spans="1:8" x14ac:dyDescent="0.25">
      <c r="A297">
        <v>296</v>
      </c>
      <c r="B297" t="s">
        <v>43</v>
      </c>
      <c r="C297" t="s">
        <v>9</v>
      </c>
      <c r="D297" t="s">
        <v>20</v>
      </c>
      <c r="E297" t="s">
        <v>21</v>
      </c>
      <c r="F297">
        <v>5</v>
      </c>
      <c r="G297">
        <v>700</v>
      </c>
      <c r="H297">
        <v>3500</v>
      </c>
    </row>
    <row r="298" spans="1:8" x14ac:dyDescent="0.25">
      <c r="A298">
        <v>297</v>
      </c>
      <c r="B298" t="s">
        <v>57</v>
      </c>
      <c r="C298" t="s">
        <v>19</v>
      </c>
      <c r="D298" t="s">
        <v>16</v>
      </c>
      <c r="E298" t="s">
        <v>28</v>
      </c>
      <c r="F298">
        <v>0</v>
      </c>
      <c r="G298">
        <v>80</v>
      </c>
      <c r="H298">
        <v>0</v>
      </c>
    </row>
    <row r="299" spans="1:8" x14ac:dyDescent="0.25">
      <c r="A299">
        <v>298</v>
      </c>
      <c r="B299" t="s">
        <v>36</v>
      </c>
      <c r="C299" t="s">
        <v>15</v>
      </c>
      <c r="D299" t="s">
        <v>12</v>
      </c>
      <c r="E299" t="s">
        <v>13</v>
      </c>
      <c r="F299">
        <v>5</v>
      </c>
      <c r="G299">
        <v>1500</v>
      </c>
      <c r="H299">
        <v>7500</v>
      </c>
    </row>
    <row r="300" spans="1:8" x14ac:dyDescent="0.25">
      <c r="A300">
        <v>299</v>
      </c>
      <c r="B300" t="s">
        <v>61</v>
      </c>
      <c r="D300" t="s">
        <v>10</v>
      </c>
      <c r="E300" t="s">
        <v>17</v>
      </c>
      <c r="F300">
        <v>0</v>
      </c>
      <c r="G300">
        <v>50</v>
      </c>
      <c r="H300">
        <v>0</v>
      </c>
    </row>
    <row r="301" spans="1:8" x14ac:dyDescent="0.25">
      <c r="A301">
        <v>300</v>
      </c>
      <c r="B301" t="s">
        <v>199</v>
      </c>
      <c r="C301" t="s">
        <v>15</v>
      </c>
      <c r="D301" t="s">
        <v>20</v>
      </c>
      <c r="E301" t="s">
        <v>13</v>
      </c>
      <c r="F301">
        <v>3</v>
      </c>
      <c r="G301">
        <v>80</v>
      </c>
      <c r="H301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A5" sqref="A5:XFD5"/>
    </sheetView>
  </sheetViews>
  <sheetFormatPr baseColWidth="10" defaultColWidth="9.140625" defaultRowHeight="15" x14ac:dyDescent="0.25"/>
  <cols>
    <col min="2" max="2" width="10.7109375" bestFit="1" customWidth="1"/>
    <col min="3" max="3" width="12.85546875" bestFit="1" customWidth="1"/>
    <col min="4" max="4" width="9" bestFit="1" customWidth="1"/>
    <col min="7" max="7" width="13.710937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F2">
        <v>0</v>
      </c>
      <c r="G2">
        <v>1500</v>
      </c>
      <c r="H2">
        <v>0</v>
      </c>
    </row>
    <row r="3" spans="1:8" x14ac:dyDescent="0.25">
      <c r="A3">
        <v>2</v>
      </c>
      <c r="B3" t="s">
        <v>11</v>
      </c>
      <c r="D3" t="s">
        <v>12</v>
      </c>
      <c r="E3" t="s">
        <v>13</v>
      </c>
      <c r="F3">
        <v>-3</v>
      </c>
      <c r="G3">
        <v>50</v>
      </c>
      <c r="H3">
        <v>-150</v>
      </c>
    </row>
    <row r="4" spans="1:8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0</v>
      </c>
      <c r="G4">
        <v>1500</v>
      </c>
      <c r="H4">
        <v>97</v>
      </c>
    </row>
    <row r="5" spans="1:8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3</v>
      </c>
      <c r="G5">
        <v>1500</v>
      </c>
      <c r="H5">
        <v>4500</v>
      </c>
    </row>
    <row r="6" spans="1:8" x14ac:dyDescent="0.25">
      <c r="A6">
        <v>5</v>
      </c>
      <c r="B6" t="s">
        <v>22</v>
      </c>
      <c r="C6" t="s">
        <v>23</v>
      </c>
      <c r="D6" t="s">
        <v>12</v>
      </c>
      <c r="F6">
        <v>-2</v>
      </c>
      <c r="G6">
        <v>50</v>
      </c>
      <c r="H6">
        <v>-10</v>
      </c>
    </row>
    <row r="7" spans="1:8" x14ac:dyDescent="0.25">
      <c r="A7">
        <v>6</v>
      </c>
      <c r="B7" t="s">
        <v>24</v>
      </c>
      <c r="C7" t="s">
        <v>23</v>
      </c>
      <c r="D7" t="s">
        <v>10</v>
      </c>
      <c r="E7" t="s">
        <v>21</v>
      </c>
      <c r="F7">
        <v>0</v>
      </c>
      <c r="G7">
        <v>1500</v>
      </c>
      <c r="H7">
        <v>0</v>
      </c>
    </row>
    <row r="8" spans="1:8" x14ac:dyDescent="0.25">
      <c r="A8">
        <v>7</v>
      </c>
      <c r="B8" t="s">
        <v>25</v>
      </c>
      <c r="C8" t="s">
        <v>9</v>
      </c>
      <c r="D8" t="s">
        <v>26</v>
      </c>
      <c r="F8">
        <v>-2</v>
      </c>
      <c r="G8">
        <v>1500</v>
      </c>
      <c r="H8">
        <v>-3000</v>
      </c>
    </row>
    <row r="9" spans="1:8" x14ac:dyDescent="0.25">
      <c r="A9">
        <v>8</v>
      </c>
      <c r="B9" t="s">
        <v>27</v>
      </c>
      <c r="C9" t="s">
        <v>23</v>
      </c>
      <c r="D9" t="s">
        <v>20</v>
      </c>
      <c r="E9" t="s">
        <v>28</v>
      </c>
      <c r="F9">
        <v>-1</v>
      </c>
      <c r="G9">
        <v>50</v>
      </c>
      <c r="H9">
        <v>-50</v>
      </c>
    </row>
    <row r="10" spans="1:8" x14ac:dyDescent="0.25">
      <c r="A10">
        <v>9</v>
      </c>
      <c r="B10" t="s">
        <v>29</v>
      </c>
      <c r="C10" t="s">
        <v>9</v>
      </c>
      <c r="D10" t="s">
        <v>10</v>
      </c>
      <c r="E10" t="s">
        <v>13</v>
      </c>
      <c r="F10">
        <v>2</v>
      </c>
      <c r="G10">
        <v>80</v>
      </c>
      <c r="H10">
        <v>160</v>
      </c>
    </row>
    <row r="11" spans="1:8" x14ac:dyDescent="0.25">
      <c r="A11">
        <v>10</v>
      </c>
      <c r="B11" t="s">
        <v>30</v>
      </c>
      <c r="C11" t="s">
        <v>15</v>
      </c>
      <c r="D11" t="s">
        <v>16</v>
      </c>
      <c r="F11">
        <v>0</v>
      </c>
      <c r="G11">
        <v>80</v>
      </c>
      <c r="H11">
        <v>0</v>
      </c>
    </row>
    <row r="12" spans="1:8" x14ac:dyDescent="0.25">
      <c r="A12">
        <v>11</v>
      </c>
      <c r="B12" t="s">
        <v>31</v>
      </c>
      <c r="C12" t="s">
        <v>23</v>
      </c>
      <c r="D12" t="s">
        <v>26</v>
      </c>
      <c r="F12">
        <v>-2</v>
      </c>
      <c r="G12">
        <v>700</v>
      </c>
      <c r="H12">
        <v>-1309</v>
      </c>
    </row>
    <row r="13" spans="1:8" x14ac:dyDescent="0.25">
      <c r="A13">
        <v>12</v>
      </c>
      <c r="B13" t="s">
        <v>32</v>
      </c>
      <c r="C13" t="s">
        <v>19</v>
      </c>
      <c r="D13" t="s">
        <v>16</v>
      </c>
      <c r="E13" t="s">
        <v>13</v>
      </c>
      <c r="F13">
        <v>0</v>
      </c>
      <c r="G13">
        <v>700</v>
      </c>
      <c r="H13">
        <v>0</v>
      </c>
    </row>
    <row r="14" spans="1:8" x14ac:dyDescent="0.25">
      <c r="A14">
        <v>13</v>
      </c>
      <c r="B14" t="s">
        <v>33</v>
      </c>
      <c r="C14" t="s">
        <v>15</v>
      </c>
      <c r="D14" t="s">
        <v>16</v>
      </c>
      <c r="E14" t="s">
        <v>13</v>
      </c>
      <c r="F14">
        <v>0</v>
      </c>
      <c r="G14">
        <v>50</v>
      </c>
      <c r="H14">
        <v>0</v>
      </c>
    </row>
    <row r="15" spans="1:8" x14ac:dyDescent="0.25">
      <c r="A15">
        <v>14</v>
      </c>
      <c r="B15" t="s">
        <v>34</v>
      </c>
      <c r="C15" t="s">
        <v>23</v>
      </c>
      <c r="D15" t="s">
        <v>10</v>
      </c>
      <c r="E15" t="s">
        <v>17</v>
      </c>
      <c r="F15">
        <v>-2</v>
      </c>
      <c r="G15">
        <v>80</v>
      </c>
      <c r="H15">
        <v>-160</v>
      </c>
    </row>
    <row r="16" spans="1:8" x14ac:dyDescent="0.25">
      <c r="A16">
        <v>15</v>
      </c>
      <c r="B16" t="s">
        <v>35</v>
      </c>
      <c r="D16" t="s">
        <v>16</v>
      </c>
      <c r="E16" t="s">
        <v>28</v>
      </c>
      <c r="F16">
        <v>5</v>
      </c>
      <c r="G16">
        <v>80</v>
      </c>
      <c r="H16">
        <v>400</v>
      </c>
    </row>
    <row r="17" spans="1:8" x14ac:dyDescent="0.25">
      <c r="A17">
        <v>16</v>
      </c>
      <c r="B17" t="s">
        <v>36</v>
      </c>
      <c r="C17" t="s">
        <v>19</v>
      </c>
      <c r="D17" t="s">
        <v>10</v>
      </c>
      <c r="F17">
        <v>0</v>
      </c>
      <c r="G17">
        <v>1500</v>
      </c>
      <c r="H17">
        <v>0</v>
      </c>
    </row>
    <row r="18" spans="1:8" x14ac:dyDescent="0.25">
      <c r="A18">
        <v>17</v>
      </c>
      <c r="B18" t="s">
        <v>37</v>
      </c>
      <c r="C18" t="s">
        <v>9</v>
      </c>
      <c r="D18" t="s">
        <v>12</v>
      </c>
      <c r="E18" t="s">
        <v>28</v>
      </c>
      <c r="F18">
        <v>-3</v>
      </c>
      <c r="G18">
        <v>1500</v>
      </c>
      <c r="H18">
        <v>-4473</v>
      </c>
    </row>
    <row r="19" spans="1:8" x14ac:dyDescent="0.25">
      <c r="A19">
        <v>18</v>
      </c>
      <c r="B19" t="s">
        <v>38</v>
      </c>
      <c r="C19" t="s">
        <v>23</v>
      </c>
      <c r="D19" t="s">
        <v>26</v>
      </c>
      <c r="E19" t="s">
        <v>13</v>
      </c>
      <c r="F19">
        <v>0</v>
      </c>
      <c r="G19">
        <v>700</v>
      </c>
      <c r="H19">
        <v>0</v>
      </c>
    </row>
    <row r="20" spans="1:8" x14ac:dyDescent="0.25">
      <c r="A20">
        <v>19</v>
      </c>
      <c r="B20" t="s">
        <v>39</v>
      </c>
      <c r="D20" t="s">
        <v>20</v>
      </c>
      <c r="E20" t="s">
        <v>28</v>
      </c>
      <c r="F20">
        <v>4</v>
      </c>
      <c r="G20">
        <v>700</v>
      </c>
      <c r="H20">
        <v>2800</v>
      </c>
    </row>
    <row r="21" spans="1:8" x14ac:dyDescent="0.25">
      <c r="A21">
        <v>20</v>
      </c>
      <c r="B21" t="s">
        <v>40</v>
      </c>
      <c r="C21" t="s">
        <v>9</v>
      </c>
      <c r="D21" t="s">
        <v>10</v>
      </c>
      <c r="F21">
        <v>4</v>
      </c>
      <c r="G21">
        <v>700</v>
      </c>
      <c r="H21">
        <v>2800</v>
      </c>
    </row>
    <row r="22" spans="1:8" x14ac:dyDescent="0.25">
      <c r="A22">
        <v>21</v>
      </c>
      <c r="B22" t="s">
        <v>41</v>
      </c>
      <c r="C22" t="s">
        <v>23</v>
      </c>
      <c r="D22" t="s">
        <v>20</v>
      </c>
      <c r="F22">
        <v>0</v>
      </c>
      <c r="G22">
        <v>700</v>
      </c>
      <c r="H22">
        <v>0</v>
      </c>
    </row>
    <row r="23" spans="1:8" x14ac:dyDescent="0.25">
      <c r="A23">
        <v>22</v>
      </c>
      <c r="B23" t="s">
        <v>42</v>
      </c>
      <c r="D23" t="s">
        <v>10</v>
      </c>
      <c r="F23">
        <v>-2</v>
      </c>
      <c r="G23">
        <v>700</v>
      </c>
      <c r="H23">
        <v>-1400</v>
      </c>
    </row>
    <row r="24" spans="1:8" x14ac:dyDescent="0.25">
      <c r="A24">
        <v>23</v>
      </c>
      <c r="B24" t="s">
        <v>43</v>
      </c>
      <c r="C24" t="s">
        <v>19</v>
      </c>
      <c r="D24" t="s">
        <v>10</v>
      </c>
      <c r="E24" t="s">
        <v>21</v>
      </c>
      <c r="F24">
        <v>5</v>
      </c>
      <c r="G24">
        <v>700</v>
      </c>
      <c r="H24">
        <v>3522</v>
      </c>
    </row>
    <row r="25" spans="1:8" x14ac:dyDescent="0.25">
      <c r="A25">
        <v>24</v>
      </c>
      <c r="B25" t="s">
        <v>44</v>
      </c>
      <c r="C25" t="s">
        <v>19</v>
      </c>
      <c r="D25" t="s">
        <v>26</v>
      </c>
      <c r="E25" t="s">
        <v>13</v>
      </c>
      <c r="F25">
        <v>-3</v>
      </c>
      <c r="G25">
        <v>80</v>
      </c>
      <c r="H25">
        <v>-240</v>
      </c>
    </row>
    <row r="26" spans="1:8" x14ac:dyDescent="0.25">
      <c r="A26">
        <v>25</v>
      </c>
      <c r="B26" t="s">
        <v>14</v>
      </c>
      <c r="C26" t="s">
        <v>23</v>
      </c>
      <c r="D26" t="s">
        <v>26</v>
      </c>
      <c r="E26" t="s">
        <v>28</v>
      </c>
      <c r="F26">
        <v>0</v>
      </c>
      <c r="G26">
        <v>50</v>
      </c>
      <c r="H26">
        <v>0</v>
      </c>
    </row>
    <row r="27" spans="1:8" x14ac:dyDescent="0.25">
      <c r="A27">
        <v>26</v>
      </c>
      <c r="B27" t="s">
        <v>45</v>
      </c>
      <c r="D27" t="s">
        <v>26</v>
      </c>
      <c r="F27">
        <v>5</v>
      </c>
      <c r="G27">
        <v>80</v>
      </c>
      <c r="H27">
        <v>400</v>
      </c>
    </row>
    <row r="28" spans="1:8" x14ac:dyDescent="0.25">
      <c r="A28">
        <v>27</v>
      </c>
      <c r="B28" t="s">
        <v>46</v>
      </c>
      <c r="C28" t="s">
        <v>19</v>
      </c>
      <c r="D28" t="s">
        <v>20</v>
      </c>
      <c r="F28">
        <v>-1</v>
      </c>
      <c r="G28">
        <v>1500</v>
      </c>
      <c r="H28">
        <v>-1500</v>
      </c>
    </row>
    <row r="29" spans="1:8" x14ac:dyDescent="0.25">
      <c r="A29">
        <v>28</v>
      </c>
      <c r="B29" t="s">
        <v>47</v>
      </c>
      <c r="C29" t="s">
        <v>9</v>
      </c>
      <c r="D29" t="s">
        <v>16</v>
      </c>
      <c r="E29" t="s">
        <v>17</v>
      </c>
      <c r="F29">
        <v>-3</v>
      </c>
      <c r="G29">
        <v>1500</v>
      </c>
      <c r="H29">
        <v>-4500</v>
      </c>
    </row>
    <row r="30" spans="1:8" x14ac:dyDescent="0.25">
      <c r="A30">
        <v>29</v>
      </c>
      <c r="B30" t="s">
        <v>48</v>
      </c>
      <c r="C30" t="s">
        <v>15</v>
      </c>
      <c r="D30" t="s">
        <v>26</v>
      </c>
      <c r="E30" t="s">
        <v>17</v>
      </c>
      <c r="F30">
        <v>5</v>
      </c>
      <c r="G30">
        <v>700</v>
      </c>
      <c r="H30">
        <v>3529</v>
      </c>
    </row>
    <row r="31" spans="1:8" x14ac:dyDescent="0.25">
      <c r="A31">
        <v>30</v>
      </c>
      <c r="B31" t="s">
        <v>49</v>
      </c>
      <c r="C31" t="s">
        <v>23</v>
      </c>
      <c r="D31" t="s">
        <v>10</v>
      </c>
      <c r="E31" t="s">
        <v>13</v>
      </c>
      <c r="F31">
        <v>0</v>
      </c>
      <c r="G31">
        <v>80</v>
      </c>
      <c r="H31">
        <v>0</v>
      </c>
    </row>
    <row r="32" spans="1:8" x14ac:dyDescent="0.25">
      <c r="A32">
        <v>31</v>
      </c>
      <c r="B32" t="s">
        <v>50</v>
      </c>
      <c r="C32" t="s">
        <v>19</v>
      </c>
      <c r="D32" t="s">
        <v>12</v>
      </c>
      <c r="E32" t="s">
        <v>13</v>
      </c>
      <c r="F32">
        <v>-1</v>
      </c>
      <c r="G32">
        <v>1500</v>
      </c>
      <c r="H32">
        <v>-1500</v>
      </c>
    </row>
    <row r="33" spans="1:8" x14ac:dyDescent="0.25">
      <c r="A33">
        <v>32</v>
      </c>
      <c r="B33" t="s">
        <v>51</v>
      </c>
      <c r="C33" t="s">
        <v>23</v>
      </c>
      <c r="D33" t="s">
        <v>26</v>
      </c>
      <c r="E33" t="s">
        <v>21</v>
      </c>
      <c r="F33">
        <v>3</v>
      </c>
      <c r="G33">
        <v>1500</v>
      </c>
      <c r="H33">
        <v>4521</v>
      </c>
    </row>
    <row r="34" spans="1:8" x14ac:dyDescent="0.25">
      <c r="A34">
        <v>33</v>
      </c>
      <c r="B34" t="s">
        <v>52</v>
      </c>
      <c r="C34" t="s">
        <v>23</v>
      </c>
      <c r="D34" t="s">
        <v>20</v>
      </c>
      <c r="E34" t="s">
        <v>17</v>
      </c>
      <c r="F34">
        <v>-1</v>
      </c>
      <c r="G34">
        <v>1500</v>
      </c>
      <c r="H34">
        <v>-1500</v>
      </c>
    </row>
    <row r="35" spans="1:8" x14ac:dyDescent="0.25">
      <c r="A35">
        <v>34</v>
      </c>
      <c r="B35" t="s">
        <v>53</v>
      </c>
      <c r="C35" t="s">
        <v>9</v>
      </c>
      <c r="D35" t="s">
        <v>16</v>
      </c>
      <c r="E35" t="s">
        <v>21</v>
      </c>
      <c r="F35">
        <v>-3</v>
      </c>
      <c r="G35">
        <v>50</v>
      </c>
      <c r="H35">
        <v>-57</v>
      </c>
    </row>
    <row r="36" spans="1:8" x14ac:dyDescent="0.25">
      <c r="A36">
        <v>35</v>
      </c>
      <c r="B36" t="s">
        <v>54</v>
      </c>
      <c r="C36" t="s">
        <v>15</v>
      </c>
      <c r="D36" t="s">
        <v>26</v>
      </c>
      <c r="E36" t="s">
        <v>28</v>
      </c>
      <c r="F36">
        <v>-1</v>
      </c>
      <c r="G36">
        <v>80</v>
      </c>
      <c r="H36">
        <v>-80</v>
      </c>
    </row>
    <row r="37" spans="1:8" x14ac:dyDescent="0.25">
      <c r="A37">
        <v>36</v>
      </c>
      <c r="B37" t="s">
        <v>55</v>
      </c>
      <c r="C37" t="s">
        <v>9</v>
      </c>
      <c r="D37" t="s">
        <v>12</v>
      </c>
      <c r="F37">
        <v>2</v>
      </c>
      <c r="G37">
        <v>50</v>
      </c>
      <c r="H37">
        <v>100</v>
      </c>
    </row>
    <row r="38" spans="1:8" x14ac:dyDescent="0.25">
      <c r="A38">
        <v>37</v>
      </c>
      <c r="B38" t="s">
        <v>56</v>
      </c>
      <c r="D38" t="s">
        <v>26</v>
      </c>
      <c r="F38">
        <v>-2</v>
      </c>
      <c r="G38">
        <v>1500</v>
      </c>
      <c r="H38">
        <v>-3000</v>
      </c>
    </row>
    <row r="39" spans="1:8" x14ac:dyDescent="0.25">
      <c r="A39">
        <v>38</v>
      </c>
      <c r="B39" t="s">
        <v>57</v>
      </c>
      <c r="C39" t="s">
        <v>15</v>
      </c>
      <c r="D39" t="s">
        <v>26</v>
      </c>
      <c r="F39">
        <v>0</v>
      </c>
      <c r="G39">
        <v>80</v>
      </c>
      <c r="H39">
        <v>16</v>
      </c>
    </row>
    <row r="40" spans="1:8" x14ac:dyDescent="0.25">
      <c r="A40">
        <v>39</v>
      </c>
      <c r="B40" t="s">
        <v>58</v>
      </c>
      <c r="D40" t="s">
        <v>16</v>
      </c>
      <c r="E40" t="s">
        <v>13</v>
      </c>
      <c r="F40">
        <v>-3</v>
      </c>
      <c r="G40">
        <v>80</v>
      </c>
      <c r="H40">
        <v>-240</v>
      </c>
    </row>
    <row r="41" spans="1:8" x14ac:dyDescent="0.25">
      <c r="A41">
        <v>40</v>
      </c>
      <c r="B41" t="s">
        <v>59</v>
      </c>
      <c r="C41" t="s">
        <v>19</v>
      </c>
      <c r="D41" t="s">
        <v>12</v>
      </c>
      <c r="F41">
        <v>2</v>
      </c>
      <c r="G41">
        <v>1500</v>
      </c>
      <c r="H41">
        <v>3000</v>
      </c>
    </row>
    <row r="42" spans="1:8" x14ac:dyDescent="0.25">
      <c r="A42">
        <v>41</v>
      </c>
      <c r="B42" t="s">
        <v>38</v>
      </c>
      <c r="C42" t="s">
        <v>23</v>
      </c>
      <c r="D42" t="s">
        <v>20</v>
      </c>
      <c r="F42">
        <v>2</v>
      </c>
      <c r="G42">
        <v>50</v>
      </c>
      <c r="H42">
        <v>100</v>
      </c>
    </row>
    <row r="43" spans="1:8" x14ac:dyDescent="0.25">
      <c r="A43">
        <v>42</v>
      </c>
      <c r="B43" t="s">
        <v>60</v>
      </c>
      <c r="C43" t="s">
        <v>19</v>
      </c>
      <c r="D43" t="s">
        <v>20</v>
      </c>
      <c r="E43" t="s">
        <v>13</v>
      </c>
      <c r="F43">
        <v>0</v>
      </c>
      <c r="G43">
        <v>80</v>
      </c>
      <c r="H43">
        <v>0</v>
      </c>
    </row>
    <row r="44" spans="1:8" x14ac:dyDescent="0.25">
      <c r="A44">
        <v>43</v>
      </c>
      <c r="B44" t="s">
        <v>43</v>
      </c>
      <c r="C44" t="s">
        <v>23</v>
      </c>
      <c r="D44" t="s">
        <v>20</v>
      </c>
      <c r="E44" t="s">
        <v>28</v>
      </c>
      <c r="F44">
        <v>-1</v>
      </c>
      <c r="G44">
        <v>80</v>
      </c>
      <c r="H44">
        <v>-80</v>
      </c>
    </row>
    <row r="45" spans="1:8" x14ac:dyDescent="0.25">
      <c r="A45">
        <v>44</v>
      </c>
      <c r="B45" t="s">
        <v>61</v>
      </c>
      <c r="C45" t="s">
        <v>23</v>
      </c>
      <c r="D45" t="s">
        <v>10</v>
      </c>
      <c r="E45" t="s">
        <v>21</v>
      </c>
      <c r="F45">
        <v>0</v>
      </c>
      <c r="G45">
        <v>80</v>
      </c>
      <c r="H45">
        <v>85</v>
      </c>
    </row>
    <row r="46" spans="1:8" x14ac:dyDescent="0.25">
      <c r="A46">
        <v>45</v>
      </c>
      <c r="B46" t="s">
        <v>62</v>
      </c>
      <c r="C46" t="s">
        <v>23</v>
      </c>
      <c r="D46" t="s">
        <v>12</v>
      </c>
      <c r="E46" t="s">
        <v>21</v>
      </c>
      <c r="F46">
        <v>-1</v>
      </c>
      <c r="G46">
        <v>1500</v>
      </c>
      <c r="H46">
        <v>-1500</v>
      </c>
    </row>
    <row r="47" spans="1:8" x14ac:dyDescent="0.25">
      <c r="A47">
        <v>46</v>
      </c>
      <c r="B47" t="s">
        <v>62</v>
      </c>
      <c r="C47" t="s">
        <v>23</v>
      </c>
      <c r="D47" t="s">
        <v>16</v>
      </c>
      <c r="E47" t="s">
        <v>28</v>
      </c>
      <c r="F47">
        <v>2</v>
      </c>
      <c r="G47">
        <v>700</v>
      </c>
      <c r="H47">
        <v>1463</v>
      </c>
    </row>
    <row r="48" spans="1:8" x14ac:dyDescent="0.25">
      <c r="A48">
        <v>47</v>
      </c>
      <c r="B48" t="s">
        <v>63</v>
      </c>
      <c r="C48" t="s">
        <v>23</v>
      </c>
      <c r="D48" t="s">
        <v>20</v>
      </c>
      <c r="E48" t="s">
        <v>21</v>
      </c>
      <c r="F48">
        <v>4</v>
      </c>
      <c r="G48">
        <v>1500</v>
      </c>
      <c r="H48">
        <v>6000</v>
      </c>
    </row>
    <row r="49" spans="1:8" x14ac:dyDescent="0.25">
      <c r="A49">
        <v>48</v>
      </c>
      <c r="B49" t="s">
        <v>64</v>
      </c>
      <c r="C49" t="s">
        <v>9</v>
      </c>
      <c r="D49" t="s">
        <v>12</v>
      </c>
      <c r="F49">
        <v>0</v>
      </c>
      <c r="G49">
        <v>50</v>
      </c>
      <c r="H49">
        <v>0</v>
      </c>
    </row>
    <row r="50" spans="1:8" x14ac:dyDescent="0.25">
      <c r="A50">
        <v>49</v>
      </c>
      <c r="B50" t="s">
        <v>65</v>
      </c>
      <c r="C50" t="s">
        <v>23</v>
      </c>
      <c r="D50" t="s">
        <v>10</v>
      </c>
      <c r="E50" t="s">
        <v>28</v>
      </c>
      <c r="F50">
        <v>0</v>
      </c>
      <c r="G50">
        <v>1500</v>
      </c>
      <c r="H50">
        <v>0</v>
      </c>
    </row>
    <row r="51" spans="1:8" x14ac:dyDescent="0.25">
      <c r="A51">
        <v>50</v>
      </c>
      <c r="B51" t="s">
        <v>66</v>
      </c>
      <c r="D51" t="s">
        <v>20</v>
      </c>
      <c r="F51">
        <v>2</v>
      </c>
      <c r="G51">
        <v>1500</v>
      </c>
      <c r="H51">
        <v>3067</v>
      </c>
    </row>
    <row r="52" spans="1:8" x14ac:dyDescent="0.25">
      <c r="A52">
        <v>51</v>
      </c>
      <c r="B52" t="s">
        <v>67</v>
      </c>
      <c r="C52" t="s">
        <v>9</v>
      </c>
      <c r="D52" t="s">
        <v>20</v>
      </c>
      <c r="E52" t="s">
        <v>21</v>
      </c>
      <c r="F52">
        <v>1</v>
      </c>
      <c r="G52">
        <v>700</v>
      </c>
      <c r="H52">
        <v>714</v>
      </c>
    </row>
    <row r="53" spans="1:8" x14ac:dyDescent="0.25">
      <c r="A53">
        <v>52</v>
      </c>
      <c r="B53" t="s">
        <v>68</v>
      </c>
      <c r="C53" t="s">
        <v>23</v>
      </c>
      <c r="D53" t="s">
        <v>12</v>
      </c>
      <c r="E53" t="s">
        <v>21</v>
      </c>
      <c r="F53">
        <v>0</v>
      </c>
      <c r="G53">
        <v>700</v>
      </c>
      <c r="H53">
        <v>18</v>
      </c>
    </row>
    <row r="54" spans="1:8" x14ac:dyDescent="0.25">
      <c r="A54">
        <v>53</v>
      </c>
      <c r="B54" t="s">
        <v>69</v>
      </c>
      <c r="C54" t="s">
        <v>15</v>
      </c>
      <c r="D54" t="s">
        <v>16</v>
      </c>
      <c r="E54" t="s">
        <v>13</v>
      </c>
      <c r="F54">
        <v>-2</v>
      </c>
      <c r="G54">
        <v>80</v>
      </c>
      <c r="H54">
        <v>-160</v>
      </c>
    </row>
    <row r="55" spans="1:8" x14ac:dyDescent="0.25">
      <c r="A55">
        <v>54</v>
      </c>
      <c r="B55" t="s">
        <v>11</v>
      </c>
      <c r="C55" t="s">
        <v>9</v>
      </c>
      <c r="D55" t="s">
        <v>10</v>
      </c>
      <c r="E55" t="s">
        <v>28</v>
      </c>
      <c r="F55">
        <v>0</v>
      </c>
      <c r="G55">
        <v>50</v>
      </c>
      <c r="H55">
        <v>82</v>
      </c>
    </row>
    <row r="56" spans="1:8" x14ac:dyDescent="0.25">
      <c r="A56">
        <v>55</v>
      </c>
      <c r="B56" t="s">
        <v>70</v>
      </c>
      <c r="C56" t="s">
        <v>9</v>
      </c>
      <c r="D56" t="s">
        <v>10</v>
      </c>
      <c r="E56" t="s">
        <v>17</v>
      </c>
      <c r="F56">
        <v>-3</v>
      </c>
      <c r="G56">
        <v>50</v>
      </c>
      <c r="H56">
        <v>-150</v>
      </c>
    </row>
    <row r="57" spans="1:8" x14ac:dyDescent="0.25">
      <c r="A57">
        <v>56</v>
      </c>
      <c r="B57" t="s">
        <v>45</v>
      </c>
      <c r="C57" t="s">
        <v>23</v>
      </c>
      <c r="D57" t="s">
        <v>16</v>
      </c>
      <c r="F57">
        <v>0</v>
      </c>
      <c r="G57">
        <v>80</v>
      </c>
      <c r="H57">
        <v>0</v>
      </c>
    </row>
    <row r="58" spans="1:8" x14ac:dyDescent="0.25">
      <c r="A58">
        <v>57</v>
      </c>
      <c r="B58" t="s">
        <v>53</v>
      </c>
      <c r="C58" t="s">
        <v>15</v>
      </c>
      <c r="D58" t="s">
        <v>12</v>
      </c>
      <c r="E58" t="s">
        <v>21</v>
      </c>
      <c r="F58">
        <v>-3</v>
      </c>
      <c r="G58">
        <v>700</v>
      </c>
      <c r="H58">
        <v>-2100</v>
      </c>
    </row>
    <row r="59" spans="1:8" x14ac:dyDescent="0.25">
      <c r="A59">
        <v>58</v>
      </c>
      <c r="B59" t="s">
        <v>71</v>
      </c>
      <c r="C59" t="s">
        <v>23</v>
      </c>
      <c r="D59" t="s">
        <v>26</v>
      </c>
      <c r="E59" t="s">
        <v>17</v>
      </c>
      <c r="F59">
        <v>0</v>
      </c>
      <c r="G59">
        <v>50</v>
      </c>
      <c r="H59">
        <v>0</v>
      </c>
    </row>
    <row r="60" spans="1:8" x14ac:dyDescent="0.25">
      <c r="A60">
        <v>59</v>
      </c>
      <c r="B60" t="s">
        <v>72</v>
      </c>
      <c r="D60" t="s">
        <v>12</v>
      </c>
      <c r="F60">
        <v>-3</v>
      </c>
      <c r="G60">
        <v>700</v>
      </c>
      <c r="H60">
        <v>-2100</v>
      </c>
    </row>
    <row r="61" spans="1:8" x14ac:dyDescent="0.25">
      <c r="A61">
        <v>60</v>
      </c>
      <c r="B61" t="s">
        <v>73</v>
      </c>
      <c r="D61" t="s">
        <v>20</v>
      </c>
      <c r="E61" t="s">
        <v>28</v>
      </c>
      <c r="F61">
        <v>-3</v>
      </c>
      <c r="G61">
        <v>80</v>
      </c>
      <c r="H61">
        <v>-240</v>
      </c>
    </row>
    <row r="62" spans="1:8" x14ac:dyDescent="0.25">
      <c r="A62">
        <v>61</v>
      </c>
      <c r="B62" t="s">
        <v>74</v>
      </c>
      <c r="C62" t="s">
        <v>9</v>
      </c>
      <c r="D62" t="s">
        <v>10</v>
      </c>
      <c r="F62">
        <v>-3</v>
      </c>
      <c r="G62">
        <v>1500</v>
      </c>
      <c r="H62">
        <v>-4500</v>
      </c>
    </row>
    <row r="63" spans="1:8" x14ac:dyDescent="0.25">
      <c r="A63">
        <v>62</v>
      </c>
      <c r="B63" t="s">
        <v>75</v>
      </c>
      <c r="D63" t="s">
        <v>20</v>
      </c>
      <c r="E63" t="s">
        <v>17</v>
      </c>
      <c r="F63">
        <v>-1</v>
      </c>
      <c r="G63">
        <v>1500</v>
      </c>
      <c r="H63">
        <v>-1440</v>
      </c>
    </row>
    <row r="64" spans="1:8" x14ac:dyDescent="0.25">
      <c r="A64">
        <v>63</v>
      </c>
      <c r="B64" t="s">
        <v>76</v>
      </c>
      <c r="C64" t="s">
        <v>19</v>
      </c>
      <c r="D64" t="s">
        <v>12</v>
      </c>
      <c r="E64" t="s">
        <v>28</v>
      </c>
      <c r="F64">
        <v>-2</v>
      </c>
      <c r="G64">
        <v>700</v>
      </c>
      <c r="H64">
        <v>-1400</v>
      </c>
    </row>
    <row r="65" spans="1:8" x14ac:dyDescent="0.25">
      <c r="A65">
        <v>64</v>
      </c>
      <c r="B65" t="s">
        <v>77</v>
      </c>
      <c r="C65" t="s">
        <v>23</v>
      </c>
      <c r="D65" t="s">
        <v>10</v>
      </c>
      <c r="E65" t="s">
        <v>17</v>
      </c>
      <c r="F65">
        <v>0</v>
      </c>
      <c r="G65">
        <v>1500</v>
      </c>
      <c r="H65">
        <v>41</v>
      </c>
    </row>
    <row r="66" spans="1:8" x14ac:dyDescent="0.25">
      <c r="A66">
        <v>65</v>
      </c>
      <c r="B66" t="s">
        <v>78</v>
      </c>
      <c r="C66" t="s">
        <v>9</v>
      </c>
      <c r="D66" t="s">
        <v>10</v>
      </c>
      <c r="E66" t="s">
        <v>13</v>
      </c>
      <c r="F66">
        <v>1</v>
      </c>
      <c r="G66">
        <v>50</v>
      </c>
      <c r="H66">
        <v>145</v>
      </c>
    </row>
    <row r="67" spans="1:8" x14ac:dyDescent="0.25">
      <c r="A67">
        <v>66</v>
      </c>
      <c r="B67" t="s">
        <v>79</v>
      </c>
      <c r="C67" t="s">
        <v>23</v>
      </c>
      <c r="D67" t="s">
        <v>12</v>
      </c>
      <c r="E67" t="s">
        <v>28</v>
      </c>
      <c r="F67">
        <v>-1</v>
      </c>
      <c r="G67">
        <v>1500</v>
      </c>
      <c r="H67">
        <v>-1500</v>
      </c>
    </row>
    <row r="68" spans="1:8" x14ac:dyDescent="0.25">
      <c r="A68">
        <v>67</v>
      </c>
      <c r="B68" t="s">
        <v>80</v>
      </c>
      <c r="C68" t="s">
        <v>9</v>
      </c>
      <c r="D68" t="s">
        <v>26</v>
      </c>
      <c r="F68">
        <v>0</v>
      </c>
      <c r="G68">
        <v>50</v>
      </c>
      <c r="H68">
        <v>0</v>
      </c>
    </row>
    <row r="69" spans="1:8" x14ac:dyDescent="0.25">
      <c r="A69">
        <v>68</v>
      </c>
      <c r="B69" t="s">
        <v>81</v>
      </c>
      <c r="D69" t="s">
        <v>12</v>
      </c>
      <c r="E69" t="s">
        <v>17</v>
      </c>
      <c r="F69">
        <v>-1</v>
      </c>
      <c r="G69">
        <v>80</v>
      </c>
      <c r="H69">
        <v>-80</v>
      </c>
    </row>
    <row r="70" spans="1:8" x14ac:dyDescent="0.25">
      <c r="A70">
        <v>69</v>
      </c>
      <c r="B70" t="s">
        <v>64</v>
      </c>
      <c r="C70" t="s">
        <v>23</v>
      </c>
      <c r="D70" t="s">
        <v>20</v>
      </c>
      <c r="E70" t="s">
        <v>21</v>
      </c>
      <c r="F70">
        <v>2</v>
      </c>
      <c r="G70">
        <v>1500</v>
      </c>
      <c r="H70">
        <v>3000</v>
      </c>
    </row>
    <row r="71" spans="1:8" x14ac:dyDescent="0.25">
      <c r="A71">
        <v>70</v>
      </c>
      <c r="B71" t="s">
        <v>57</v>
      </c>
      <c r="C71" t="s">
        <v>9</v>
      </c>
      <c r="D71" t="s">
        <v>10</v>
      </c>
      <c r="F71">
        <v>0</v>
      </c>
      <c r="G71">
        <v>50</v>
      </c>
      <c r="H71">
        <v>0</v>
      </c>
    </row>
    <row r="72" spans="1:8" x14ac:dyDescent="0.25">
      <c r="A72">
        <v>71</v>
      </c>
      <c r="B72" t="s">
        <v>82</v>
      </c>
      <c r="D72" t="s">
        <v>26</v>
      </c>
      <c r="E72" t="s">
        <v>21</v>
      </c>
      <c r="F72">
        <v>-1</v>
      </c>
      <c r="G72">
        <v>50</v>
      </c>
      <c r="H72">
        <v>-22</v>
      </c>
    </row>
    <row r="73" spans="1:8" x14ac:dyDescent="0.25">
      <c r="A73">
        <v>72</v>
      </c>
      <c r="B73" t="s">
        <v>83</v>
      </c>
      <c r="D73" t="s">
        <v>16</v>
      </c>
      <c r="F73">
        <v>0</v>
      </c>
      <c r="G73">
        <v>80</v>
      </c>
      <c r="H73">
        <v>11</v>
      </c>
    </row>
    <row r="74" spans="1:8" x14ac:dyDescent="0.25">
      <c r="A74">
        <v>73</v>
      </c>
      <c r="B74" t="s">
        <v>84</v>
      </c>
      <c r="C74" t="s">
        <v>19</v>
      </c>
      <c r="D74" t="s">
        <v>12</v>
      </c>
      <c r="E74" t="s">
        <v>28</v>
      </c>
      <c r="F74">
        <v>5</v>
      </c>
      <c r="G74">
        <v>1500</v>
      </c>
      <c r="H74">
        <v>7500</v>
      </c>
    </row>
    <row r="75" spans="1:8" x14ac:dyDescent="0.25">
      <c r="A75">
        <v>74</v>
      </c>
      <c r="B75" t="s">
        <v>85</v>
      </c>
      <c r="C75" t="s">
        <v>15</v>
      </c>
      <c r="D75" t="s">
        <v>26</v>
      </c>
      <c r="E75" t="s">
        <v>28</v>
      </c>
      <c r="F75">
        <v>0</v>
      </c>
      <c r="G75">
        <v>700</v>
      </c>
      <c r="H75">
        <v>78</v>
      </c>
    </row>
    <row r="76" spans="1:8" x14ac:dyDescent="0.25">
      <c r="A76">
        <v>75</v>
      </c>
      <c r="B76" t="s">
        <v>86</v>
      </c>
      <c r="D76" t="s">
        <v>20</v>
      </c>
      <c r="E76" t="s">
        <v>13</v>
      </c>
      <c r="F76">
        <v>-1</v>
      </c>
      <c r="G76">
        <v>80</v>
      </c>
      <c r="H76">
        <v>-80</v>
      </c>
    </row>
    <row r="77" spans="1:8" x14ac:dyDescent="0.25">
      <c r="A77">
        <v>76</v>
      </c>
      <c r="B77" t="s">
        <v>87</v>
      </c>
      <c r="C77" t="s">
        <v>15</v>
      </c>
      <c r="D77" t="s">
        <v>26</v>
      </c>
      <c r="E77" t="s">
        <v>28</v>
      </c>
      <c r="F77">
        <v>-3</v>
      </c>
      <c r="G77">
        <v>700</v>
      </c>
      <c r="H77">
        <v>-2100</v>
      </c>
    </row>
    <row r="78" spans="1:8" x14ac:dyDescent="0.25">
      <c r="A78">
        <v>77</v>
      </c>
      <c r="B78" t="s">
        <v>78</v>
      </c>
      <c r="C78" t="s">
        <v>15</v>
      </c>
      <c r="D78" t="s">
        <v>16</v>
      </c>
      <c r="F78">
        <v>0</v>
      </c>
      <c r="G78">
        <v>1500</v>
      </c>
      <c r="H78">
        <v>0</v>
      </c>
    </row>
    <row r="79" spans="1:8" x14ac:dyDescent="0.25">
      <c r="A79">
        <v>78</v>
      </c>
      <c r="B79" t="s">
        <v>88</v>
      </c>
      <c r="D79" t="s">
        <v>12</v>
      </c>
      <c r="E79" t="s">
        <v>17</v>
      </c>
      <c r="F79">
        <v>-2</v>
      </c>
      <c r="G79">
        <v>50</v>
      </c>
      <c r="H79">
        <v>-100</v>
      </c>
    </row>
    <row r="80" spans="1:8" x14ac:dyDescent="0.25">
      <c r="A80">
        <v>79</v>
      </c>
      <c r="B80" t="s">
        <v>89</v>
      </c>
      <c r="C80" t="s">
        <v>15</v>
      </c>
      <c r="D80" t="s">
        <v>16</v>
      </c>
      <c r="E80" t="s">
        <v>28</v>
      </c>
      <c r="F80">
        <v>2</v>
      </c>
      <c r="G80">
        <v>1500</v>
      </c>
      <c r="H80">
        <v>3068</v>
      </c>
    </row>
    <row r="81" spans="1:8" x14ac:dyDescent="0.25">
      <c r="A81">
        <v>80</v>
      </c>
      <c r="B81" t="s">
        <v>90</v>
      </c>
      <c r="C81" t="s">
        <v>23</v>
      </c>
      <c r="D81" t="s">
        <v>10</v>
      </c>
      <c r="E81" t="s">
        <v>21</v>
      </c>
      <c r="F81">
        <v>0</v>
      </c>
      <c r="G81">
        <v>700</v>
      </c>
      <c r="H81">
        <v>39</v>
      </c>
    </row>
    <row r="82" spans="1:8" x14ac:dyDescent="0.25">
      <c r="A82">
        <v>81</v>
      </c>
      <c r="B82" t="s">
        <v>91</v>
      </c>
      <c r="C82" t="s">
        <v>9</v>
      </c>
      <c r="D82" t="s">
        <v>10</v>
      </c>
      <c r="F82">
        <v>5</v>
      </c>
      <c r="G82">
        <v>700</v>
      </c>
      <c r="H82">
        <v>3500</v>
      </c>
    </row>
    <row r="83" spans="1:8" x14ac:dyDescent="0.25">
      <c r="A83">
        <v>82</v>
      </c>
      <c r="B83" t="s">
        <v>92</v>
      </c>
      <c r="C83" t="s">
        <v>9</v>
      </c>
      <c r="D83" t="s">
        <v>16</v>
      </c>
      <c r="E83" t="s">
        <v>13</v>
      </c>
      <c r="F83">
        <v>0</v>
      </c>
      <c r="G83">
        <v>1500</v>
      </c>
      <c r="H83">
        <v>0</v>
      </c>
    </row>
    <row r="84" spans="1:8" x14ac:dyDescent="0.25">
      <c r="A84">
        <v>83</v>
      </c>
      <c r="B84" t="s">
        <v>93</v>
      </c>
      <c r="C84" t="s">
        <v>23</v>
      </c>
      <c r="D84" t="s">
        <v>10</v>
      </c>
      <c r="E84" t="s">
        <v>17</v>
      </c>
      <c r="F84">
        <v>0</v>
      </c>
      <c r="G84">
        <v>1500</v>
      </c>
      <c r="H84">
        <v>0</v>
      </c>
    </row>
    <row r="85" spans="1:8" x14ac:dyDescent="0.25">
      <c r="A85">
        <v>84</v>
      </c>
      <c r="B85" t="s">
        <v>94</v>
      </c>
      <c r="C85" t="s">
        <v>9</v>
      </c>
      <c r="D85" t="s">
        <v>26</v>
      </c>
      <c r="E85" t="s">
        <v>21</v>
      </c>
      <c r="F85">
        <v>-1</v>
      </c>
      <c r="G85">
        <v>700</v>
      </c>
      <c r="H85">
        <v>-700</v>
      </c>
    </row>
    <row r="86" spans="1:8" x14ac:dyDescent="0.25">
      <c r="A86">
        <v>85</v>
      </c>
      <c r="B86" t="s">
        <v>95</v>
      </c>
      <c r="C86" t="s">
        <v>19</v>
      </c>
      <c r="D86" t="s">
        <v>26</v>
      </c>
      <c r="E86" t="s">
        <v>17</v>
      </c>
      <c r="F86">
        <v>0</v>
      </c>
      <c r="G86">
        <v>1500</v>
      </c>
      <c r="H86">
        <v>0</v>
      </c>
    </row>
    <row r="87" spans="1:8" x14ac:dyDescent="0.25">
      <c r="A87">
        <v>86</v>
      </c>
      <c r="B87" t="s">
        <v>69</v>
      </c>
      <c r="C87" t="s">
        <v>23</v>
      </c>
      <c r="D87" t="s">
        <v>26</v>
      </c>
      <c r="F87">
        <v>1</v>
      </c>
      <c r="G87">
        <v>50</v>
      </c>
      <c r="H87">
        <v>50</v>
      </c>
    </row>
    <row r="88" spans="1:8" x14ac:dyDescent="0.25">
      <c r="A88">
        <v>87</v>
      </c>
      <c r="B88" t="s">
        <v>40</v>
      </c>
      <c r="C88" t="s">
        <v>15</v>
      </c>
      <c r="D88" t="s">
        <v>20</v>
      </c>
      <c r="E88" t="s">
        <v>21</v>
      </c>
      <c r="F88">
        <v>-1</v>
      </c>
      <c r="G88">
        <v>80</v>
      </c>
      <c r="H88">
        <v>-80</v>
      </c>
    </row>
    <row r="89" spans="1:8" x14ac:dyDescent="0.25">
      <c r="A89">
        <v>88</v>
      </c>
      <c r="B89" t="s">
        <v>96</v>
      </c>
      <c r="C89" t="s">
        <v>15</v>
      </c>
      <c r="D89" t="s">
        <v>12</v>
      </c>
      <c r="E89" t="s">
        <v>28</v>
      </c>
      <c r="F89">
        <v>3</v>
      </c>
      <c r="G89">
        <v>80</v>
      </c>
      <c r="H89">
        <v>240</v>
      </c>
    </row>
    <row r="90" spans="1:8" x14ac:dyDescent="0.25">
      <c r="A90">
        <v>89</v>
      </c>
      <c r="B90" t="s">
        <v>97</v>
      </c>
      <c r="C90" t="s">
        <v>15</v>
      </c>
      <c r="D90" t="s">
        <v>26</v>
      </c>
      <c r="F90">
        <v>2</v>
      </c>
      <c r="G90">
        <v>80</v>
      </c>
      <c r="H90">
        <v>160</v>
      </c>
    </row>
    <row r="91" spans="1:8" x14ac:dyDescent="0.25">
      <c r="A91">
        <v>90</v>
      </c>
      <c r="B91" t="s">
        <v>98</v>
      </c>
      <c r="C91" t="s">
        <v>19</v>
      </c>
      <c r="D91" t="s">
        <v>10</v>
      </c>
      <c r="E91" t="s">
        <v>13</v>
      </c>
      <c r="F91">
        <v>3</v>
      </c>
      <c r="G91">
        <v>700</v>
      </c>
      <c r="H91">
        <v>2100</v>
      </c>
    </row>
    <row r="92" spans="1:8" x14ac:dyDescent="0.25">
      <c r="A92">
        <v>91</v>
      </c>
      <c r="B92" t="s">
        <v>99</v>
      </c>
      <c r="C92" t="s">
        <v>23</v>
      </c>
      <c r="D92" t="s">
        <v>26</v>
      </c>
      <c r="E92" t="s">
        <v>17</v>
      </c>
      <c r="F92">
        <v>3</v>
      </c>
      <c r="G92">
        <v>700</v>
      </c>
      <c r="H92">
        <v>2100</v>
      </c>
    </row>
    <row r="93" spans="1:8" x14ac:dyDescent="0.25">
      <c r="A93">
        <v>92</v>
      </c>
      <c r="B93" t="s">
        <v>100</v>
      </c>
      <c r="C93" t="s">
        <v>23</v>
      </c>
      <c r="D93" t="s">
        <v>26</v>
      </c>
      <c r="E93" t="s">
        <v>21</v>
      </c>
      <c r="F93">
        <v>-3</v>
      </c>
      <c r="G93">
        <v>80</v>
      </c>
      <c r="H93">
        <v>-240</v>
      </c>
    </row>
    <row r="94" spans="1:8" x14ac:dyDescent="0.25">
      <c r="A94">
        <v>93</v>
      </c>
      <c r="B94" t="s">
        <v>101</v>
      </c>
      <c r="C94" t="s">
        <v>9</v>
      </c>
      <c r="D94" t="s">
        <v>16</v>
      </c>
      <c r="E94" t="s">
        <v>21</v>
      </c>
      <c r="F94">
        <v>2</v>
      </c>
      <c r="G94">
        <v>80</v>
      </c>
      <c r="H94">
        <v>160</v>
      </c>
    </row>
    <row r="95" spans="1:8" x14ac:dyDescent="0.25">
      <c r="A95">
        <v>94</v>
      </c>
      <c r="B95" t="s">
        <v>102</v>
      </c>
      <c r="D95" t="s">
        <v>20</v>
      </c>
      <c r="E95" t="s">
        <v>13</v>
      </c>
      <c r="F95">
        <v>-1</v>
      </c>
      <c r="G95">
        <v>80</v>
      </c>
      <c r="H95">
        <v>-80</v>
      </c>
    </row>
    <row r="96" spans="1:8" x14ac:dyDescent="0.25">
      <c r="A96">
        <v>95</v>
      </c>
      <c r="B96" t="s">
        <v>103</v>
      </c>
      <c r="C96" t="s">
        <v>19</v>
      </c>
      <c r="D96" t="s">
        <v>12</v>
      </c>
      <c r="E96" t="s">
        <v>13</v>
      </c>
      <c r="F96">
        <v>1</v>
      </c>
      <c r="G96">
        <v>1500</v>
      </c>
      <c r="H96">
        <v>1500</v>
      </c>
    </row>
    <row r="97" spans="1:8" x14ac:dyDescent="0.25">
      <c r="A97">
        <v>96</v>
      </c>
      <c r="B97" t="s">
        <v>48</v>
      </c>
      <c r="C97" t="s">
        <v>9</v>
      </c>
      <c r="D97" t="s">
        <v>20</v>
      </c>
      <c r="E97" t="s">
        <v>13</v>
      </c>
      <c r="F97">
        <v>4</v>
      </c>
      <c r="G97">
        <v>80</v>
      </c>
      <c r="H97">
        <v>419</v>
      </c>
    </row>
    <row r="98" spans="1:8" x14ac:dyDescent="0.25">
      <c r="A98">
        <v>97</v>
      </c>
      <c r="B98" t="s">
        <v>104</v>
      </c>
      <c r="D98" t="s">
        <v>26</v>
      </c>
      <c r="F98">
        <v>-3</v>
      </c>
      <c r="G98">
        <v>1500</v>
      </c>
      <c r="H98">
        <v>-4500</v>
      </c>
    </row>
    <row r="99" spans="1:8" x14ac:dyDescent="0.25">
      <c r="A99">
        <v>98</v>
      </c>
      <c r="B99" t="s">
        <v>105</v>
      </c>
      <c r="C99" t="s">
        <v>19</v>
      </c>
      <c r="D99" t="s">
        <v>12</v>
      </c>
      <c r="E99" t="s">
        <v>21</v>
      </c>
      <c r="F99">
        <v>0</v>
      </c>
      <c r="G99">
        <v>700</v>
      </c>
      <c r="H99">
        <v>85</v>
      </c>
    </row>
    <row r="100" spans="1:8" x14ac:dyDescent="0.25">
      <c r="A100">
        <v>99</v>
      </c>
      <c r="B100" t="s">
        <v>106</v>
      </c>
      <c r="C100" t="s">
        <v>15</v>
      </c>
      <c r="D100" t="s">
        <v>12</v>
      </c>
      <c r="E100" t="s">
        <v>21</v>
      </c>
      <c r="F100">
        <v>3</v>
      </c>
      <c r="G100">
        <v>50</v>
      </c>
      <c r="H100">
        <v>150</v>
      </c>
    </row>
    <row r="101" spans="1:8" x14ac:dyDescent="0.25">
      <c r="A101">
        <v>100</v>
      </c>
      <c r="B101" t="s">
        <v>107</v>
      </c>
      <c r="C101" t="s">
        <v>19</v>
      </c>
      <c r="D101" t="s">
        <v>16</v>
      </c>
      <c r="E101" t="s">
        <v>17</v>
      </c>
      <c r="F101">
        <v>-2</v>
      </c>
      <c r="G101">
        <v>50</v>
      </c>
      <c r="H101">
        <v>-100</v>
      </c>
    </row>
    <row r="102" spans="1:8" x14ac:dyDescent="0.25">
      <c r="A102">
        <v>101</v>
      </c>
      <c r="B102" t="s">
        <v>108</v>
      </c>
      <c r="D102" t="s">
        <v>20</v>
      </c>
      <c r="E102" t="s">
        <v>13</v>
      </c>
      <c r="F102">
        <v>-2</v>
      </c>
      <c r="G102">
        <v>1500</v>
      </c>
      <c r="H102">
        <v>-3000</v>
      </c>
    </row>
    <row r="103" spans="1:8" x14ac:dyDescent="0.25">
      <c r="A103">
        <v>102</v>
      </c>
      <c r="B103" t="s">
        <v>85</v>
      </c>
      <c r="C103" t="s">
        <v>9</v>
      </c>
      <c r="D103" t="s">
        <v>26</v>
      </c>
      <c r="E103" t="s">
        <v>28</v>
      </c>
      <c r="F103">
        <v>-1</v>
      </c>
      <c r="G103">
        <v>700</v>
      </c>
      <c r="H103">
        <v>-700</v>
      </c>
    </row>
    <row r="104" spans="1:8" x14ac:dyDescent="0.25">
      <c r="A104">
        <v>103</v>
      </c>
      <c r="B104" t="s">
        <v>80</v>
      </c>
      <c r="C104" t="s">
        <v>15</v>
      </c>
      <c r="D104" t="s">
        <v>16</v>
      </c>
      <c r="E104" t="s">
        <v>13</v>
      </c>
      <c r="F104">
        <v>4</v>
      </c>
      <c r="G104">
        <v>50</v>
      </c>
      <c r="H104">
        <v>215</v>
      </c>
    </row>
    <row r="105" spans="1:8" x14ac:dyDescent="0.25">
      <c r="A105">
        <v>104</v>
      </c>
      <c r="B105" t="s">
        <v>109</v>
      </c>
      <c r="C105" t="s">
        <v>23</v>
      </c>
      <c r="D105" t="s">
        <v>10</v>
      </c>
      <c r="E105" t="s">
        <v>13</v>
      </c>
      <c r="F105">
        <v>-1</v>
      </c>
      <c r="G105">
        <v>700</v>
      </c>
      <c r="H105">
        <v>-700</v>
      </c>
    </row>
    <row r="106" spans="1:8" x14ac:dyDescent="0.25">
      <c r="A106">
        <v>105</v>
      </c>
      <c r="B106" t="s">
        <v>110</v>
      </c>
      <c r="D106" t="s">
        <v>20</v>
      </c>
      <c r="E106" t="s">
        <v>28</v>
      </c>
      <c r="F106">
        <v>0</v>
      </c>
      <c r="G106">
        <v>50</v>
      </c>
      <c r="H106">
        <v>0</v>
      </c>
    </row>
    <row r="107" spans="1:8" x14ac:dyDescent="0.25">
      <c r="A107">
        <v>106</v>
      </c>
      <c r="B107" t="s">
        <v>60</v>
      </c>
      <c r="D107" t="s">
        <v>10</v>
      </c>
      <c r="E107" t="s">
        <v>21</v>
      </c>
      <c r="F107">
        <v>-3</v>
      </c>
      <c r="G107">
        <v>700</v>
      </c>
      <c r="H107">
        <v>-2100</v>
      </c>
    </row>
    <row r="108" spans="1:8" x14ac:dyDescent="0.25">
      <c r="A108">
        <v>107</v>
      </c>
      <c r="B108" t="s">
        <v>111</v>
      </c>
      <c r="C108" t="s">
        <v>19</v>
      </c>
      <c r="D108" t="s">
        <v>26</v>
      </c>
      <c r="E108" t="s">
        <v>13</v>
      </c>
      <c r="F108">
        <v>-1</v>
      </c>
      <c r="G108">
        <v>1500</v>
      </c>
      <c r="H108">
        <v>-1500</v>
      </c>
    </row>
    <row r="109" spans="1:8" x14ac:dyDescent="0.25">
      <c r="A109">
        <v>108</v>
      </c>
      <c r="B109" t="s">
        <v>112</v>
      </c>
      <c r="D109" t="s">
        <v>12</v>
      </c>
      <c r="F109">
        <v>-3</v>
      </c>
      <c r="G109">
        <v>1500</v>
      </c>
      <c r="H109">
        <v>-4500</v>
      </c>
    </row>
    <row r="110" spans="1:8" x14ac:dyDescent="0.25">
      <c r="A110">
        <v>109</v>
      </c>
      <c r="B110" t="s">
        <v>113</v>
      </c>
      <c r="C110" t="s">
        <v>9</v>
      </c>
      <c r="D110" t="s">
        <v>20</v>
      </c>
      <c r="E110" t="s">
        <v>13</v>
      </c>
      <c r="F110">
        <v>-3</v>
      </c>
      <c r="G110">
        <v>80</v>
      </c>
      <c r="H110">
        <v>-240</v>
      </c>
    </row>
    <row r="111" spans="1:8" x14ac:dyDescent="0.25">
      <c r="A111">
        <v>110</v>
      </c>
      <c r="B111" t="s">
        <v>114</v>
      </c>
      <c r="D111" t="s">
        <v>20</v>
      </c>
      <c r="E111" t="s">
        <v>17</v>
      </c>
      <c r="F111">
        <v>3</v>
      </c>
      <c r="G111">
        <v>50</v>
      </c>
      <c r="H111">
        <v>150</v>
      </c>
    </row>
    <row r="112" spans="1:8" x14ac:dyDescent="0.25">
      <c r="A112">
        <v>111</v>
      </c>
      <c r="B112" t="s">
        <v>115</v>
      </c>
      <c r="C112" t="s">
        <v>23</v>
      </c>
      <c r="D112" t="s">
        <v>20</v>
      </c>
      <c r="E112" t="s">
        <v>21</v>
      </c>
      <c r="F112">
        <v>0</v>
      </c>
      <c r="G112">
        <v>1500</v>
      </c>
      <c r="H112">
        <v>27</v>
      </c>
    </row>
    <row r="113" spans="1:8" x14ac:dyDescent="0.25">
      <c r="A113">
        <v>112</v>
      </c>
      <c r="B113" t="s">
        <v>116</v>
      </c>
      <c r="C113" t="s">
        <v>19</v>
      </c>
      <c r="D113" t="s">
        <v>20</v>
      </c>
      <c r="F113">
        <v>5</v>
      </c>
      <c r="G113">
        <v>50</v>
      </c>
      <c r="H113">
        <v>250</v>
      </c>
    </row>
    <row r="114" spans="1:8" x14ac:dyDescent="0.25">
      <c r="A114">
        <v>113</v>
      </c>
      <c r="B114" t="s">
        <v>68</v>
      </c>
      <c r="C114" t="s">
        <v>23</v>
      </c>
      <c r="D114" t="s">
        <v>26</v>
      </c>
      <c r="F114">
        <v>-1</v>
      </c>
      <c r="G114">
        <v>1500</v>
      </c>
      <c r="H114">
        <v>-1500</v>
      </c>
    </row>
    <row r="115" spans="1:8" x14ac:dyDescent="0.25">
      <c r="A115">
        <v>114</v>
      </c>
      <c r="B115" t="s">
        <v>55</v>
      </c>
      <c r="C115" t="s">
        <v>9</v>
      </c>
      <c r="D115" t="s">
        <v>26</v>
      </c>
      <c r="E115" t="s">
        <v>28</v>
      </c>
      <c r="F115">
        <v>0</v>
      </c>
      <c r="G115">
        <v>700</v>
      </c>
      <c r="H115">
        <v>83</v>
      </c>
    </row>
    <row r="116" spans="1:8" x14ac:dyDescent="0.25">
      <c r="A116">
        <v>115</v>
      </c>
      <c r="B116" t="s">
        <v>53</v>
      </c>
      <c r="C116" t="s">
        <v>15</v>
      </c>
      <c r="D116" t="s">
        <v>26</v>
      </c>
      <c r="E116" t="s">
        <v>13</v>
      </c>
      <c r="F116">
        <v>0</v>
      </c>
      <c r="G116">
        <v>50</v>
      </c>
      <c r="H116">
        <v>0</v>
      </c>
    </row>
    <row r="117" spans="1:8" x14ac:dyDescent="0.25">
      <c r="A117">
        <v>116</v>
      </c>
      <c r="B117" t="s">
        <v>31</v>
      </c>
      <c r="C117" t="s">
        <v>23</v>
      </c>
      <c r="D117" t="s">
        <v>20</v>
      </c>
      <c r="E117" t="s">
        <v>28</v>
      </c>
      <c r="F117">
        <v>1</v>
      </c>
      <c r="G117">
        <v>700</v>
      </c>
      <c r="H117">
        <v>700</v>
      </c>
    </row>
    <row r="118" spans="1:8" x14ac:dyDescent="0.25">
      <c r="A118">
        <v>117</v>
      </c>
      <c r="B118" t="s">
        <v>25</v>
      </c>
      <c r="D118" t="s">
        <v>16</v>
      </c>
      <c r="F118">
        <v>-3</v>
      </c>
      <c r="G118">
        <v>700</v>
      </c>
      <c r="H118">
        <v>-2100</v>
      </c>
    </row>
    <row r="119" spans="1:8" x14ac:dyDescent="0.25">
      <c r="A119">
        <v>118</v>
      </c>
      <c r="B119" t="s">
        <v>117</v>
      </c>
      <c r="C119" t="s">
        <v>9</v>
      </c>
      <c r="D119" t="s">
        <v>10</v>
      </c>
      <c r="E119" t="s">
        <v>28</v>
      </c>
      <c r="F119">
        <v>-2</v>
      </c>
      <c r="G119">
        <v>50</v>
      </c>
      <c r="H119">
        <v>-25</v>
      </c>
    </row>
    <row r="120" spans="1:8" x14ac:dyDescent="0.25">
      <c r="A120">
        <v>119</v>
      </c>
      <c r="B120" t="s">
        <v>118</v>
      </c>
      <c r="C120" t="s">
        <v>23</v>
      </c>
      <c r="D120" t="s">
        <v>16</v>
      </c>
      <c r="E120" t="s">
        <v>13</v>
      </c>
      <c r="F120">
        <v>-1</v>
      </c>
      <c r="G120">
        <v>50</v>
      </c>
      <c r="H120">
        <v>7</v>
      </c>
    </row>
    <row r="121" spans="1:8" x14ac:dyDescent="0.25">
      <c r="A121">
        <v>120</v>
      </c>
      <c r="B121" t="s">
        <v>107</v>
      </c>
      <c r="D121" t="s">
        <v>10</v>
      </c>
      <c r="F121">
        <v>0</v>
      </c>
      <c r="G121">
        <v>700</v>
      </c>
      <c r="H121">
        <v>0</v>
      </c>
    </row>
    <row r="122" spans="1:8" x14ac:dyDescent="0.25">
      <c r="A122">
        <v>121</v>
      </c>
      <c r="B122" t="s">
        <v>43</v>
      </c>
      <c r="D122" t="s">
        <v>26</v>
      </c>
      <c r="F122">
        <v>5</v>
      </c>
      <c r="G122">
        <v>700</v>
      </c>
      <c r="H122">
        <v>3500</v>
      </c>
    </row>
    <row r="123" spans="1:8" x14ac:dyDescent="0.25">
      <c r="A123">
        <v>122</v>
      </c>
      <c r="B123" t="s">
        <v>119</v>
      </c>
      <c r="C123" t="s">
        <v>19</v>
      </c>
      <c r="D123" t="s">
        <v>20</v>
      </c>
      <c r="E123" t="s">
        <v>13</v>
      </c>
      <c r="F123">
        <v>0</v>
      </c>
      <c r="G123">
        <v>700</v>
      </c>
      <c r="H123">
        <v>0</v>
      </c>
    </row>
    <row r="124" spans="1:8" x14ac:dyDescent="0.25">
      <c r="A124">
        <v>123</v>
      </c>
      <c r="B124" t="s">
        <v>120</v>
      </c>
      <c r="C124" t="s">
        <v>15</v>
      </c>
      <c r="D124" t="s">
        <v>16</v>
      </c>
      <c r="E124" t="s">
        <v>28</v>
      </c>
      <c r="F124">
        <v>4</v>
      </c>
      <c r="G124">
        <v>50</v>
      </c>
      <c r="H124">
        <v>200</v>
      </c>
    </row>
    <row r="125" spans="1:8" x14ac:dyDescent="0.25">
      <c r="A125">
        <v>124</v>
      </c>
      <c r="B125" t="s">
        <v>74</v>
      </c>
      <c r="C125" t="s">
        <v>23</v>
      </c>
      <c r="D125" t="s">
        <v>26</v>
      </c>
      <c r="E125" t="s">
        <v>13</v>
      </c>
      <c r="F125">
        <v>-2</v>
      </c>
      <c r="G125">
        <v>80</v>
      </c>
      <c r="H125">
        <v>-160</v>
      </c>
    </row>
    <row r="126" spans="1:8" x14ac:dyDescent="0.25">
      <c r="A126">
        <v>125</v>
      </c>
      <c r="B126" t="s">
        <v>121</v>
      </c>
      <c r="C126" t="s">
        <v>23</v>
      </c>
      <c r="D126" t="s">
        <v>12</v>
      </c>
      <c r="E126" t="s">
        <v>21</v>
      </c>
      <c r="F126">
        <v>0</v>
      </c>
      <c r="G126">
        <v>1500</v>
      </c>
      <c r="H126">
        <v>0</v>
      </c>
    </row>
    <row r="127" spans="1:8" x14ac:dyDescent="0.25">
      <c r="A127">
        <v>126</v>
      </c>
      <c r="B127" t="s">
        <v>122</v>
      </c>
      <c r="C127" t="s">
        <v>19</v>
      </c>
      <c r="D127" t="s">
        <v>16</v>
      </c>
      <c r="E127" t="s">
        <v>21</v>
      </c>
      <c r="F127">
        <v>1</v>
      </c>
      <c r="G127">
        <v>1500</v>
      </c>
      <c r="H127">
        <v>1500</v>
      </c>
    </row>
    <row r="128" spans="1:8" x14ac:dyDescent="0.25">
      <c r="A128">
        <v>127</v>
      </c>
      <c r="B128" t="s">
        <v>114</v>
      </c>
      <c r="C128" t="s">
        <v>9</v>
      </c>
      <c r="D128" t="s">
        <v>12</v>
      </c>
      <c r="E128" t="s">
        <v>17</v>
      </c>
      <c r="F128">
        <v>0</v>
      </c>
      <c r="G128">
        <v>50</v>
      </c>
      <c r="H128">
        <v>0</v>
      </c>
    </row>
    <row r="129" spans="1:8" x14ac:dyDescent="0.25">
      <c r="A129">
        <v>128</v>
      </c>
      <c r="B129" t="s">
        <v>89</v>
      </c>
      <c r="C129" t="s">
        <v>19</v>
      </c>
      <c r="D129" t="s">
        <v>16</v>
      </c>
      <c r="E129" t="s">
        <v>13</v>
      </c>
      <c r="F129">
        <v>0</v>
      </c>
      <c r="G129">
        <v>700</v>
      </c>
      <c r="H129">
        <v>0</v>
      </c>
    </row>
    <row r="130" spans="1:8" x14ac:dyDescent="0.25">
      <c r="A130">
        <v>129</v>
      </c>
      <c r="B130" t="s">
        <v>95</v>
      </c>
      <c r="C130" t="s">
        <v>15</v>
      </c>
      <c r="D130" t="s">
        <v>20</v>
      </c>
      <c r="E130" t="s">
        <v>21</v>
      </c>
      <c r="F130">
        <v>-3</v>
      </c>
      <c r="G130">
        <v>80</v>
      </c>
      <c r="H130">
        <v>-205</v>
      </c>
    </row>
    <row r="131" spans="1:8" x14ac:dyDescent="0.25">
      <c r="A131">
        <v>130</v>
      </c>
      <c r="B131" t="s">
        <v>123</v>
      </c>
      <c r="C131" t="s">
        <v>15</v>
      </c>
      <c r="D131" t="s">
        <v>20</v>
      </c>
      <c r="E131" t="s">
        <v>21</v>
      </c>
      <c r="F131">
        <v>4</v>
      </c>
      <c r="G131">
        <v>700</v>
      </c>
      <c r="H131">
        <v>2800</v>
      </c>
    </row>
    <row r="132" spans="1:8" x14ac:dyDescent="0.25">
      <c r="A132">
        <v>131</v>
      </c>
      <c r="B132" t="s">
        <v>46</v>
      </c>
      <c r="D132" t="s">
        <v>16</v>
      </c>
      <c r="E132" t="s">
        <v>13</v>
      </c>
      <c r="F132">
        <v>-2</v>
      </c>
      <c r="G132">
        <v>1500</v>
      </c>
      <c r="H132">
        <v>-3000</v>
      </c>
    </row>
    <row r="133" spans="1:8" x14ac:dyDescent="0.25">
      <c r="A133">
        <v>132</v>
      </c>
      <c r="B133" t="s">
        <v>76</v>
      </c>
      <c r="C133" t="s">
        <v>23</v>
      </c>
      <c r="D133" t="s">
        <v>20</v>
      </c>
      <c r="F133">
        <v>0</v>
      </c>
      <c r="G133">
        <v>50</v>
      </c>
      <c r="H133">
        <v>51</v>
      </c>
    </row>
    <row r="134" spans="1:8" x14ac:dyDescent="0.25">
      <c r="A134">
        <v>133</v>
      </c>
      <c r="B134" t="s">
        <v>39</v>
      </c>
      <c r="C134" t="s">
        <v>15</v>
      </c>
      <c r="D134" t="s">
        <v>10</v>
      </c>
      <c r="E134" t="s">
        <v>13</v>
      </c>
      <c r="F134">
        <v>1</v>
      </c>
      <c r="G134">
        <v>1500</v>
      </c>
      <c r="H134">
        <v>1514</v>
      </c>
    </row>
    <row r="135" spans="1:8" x14ac:dyDescent="0.25">
      <c r="A135">
        <v>134</v>
      </c>
      <c r="B135" t="s">
        <v>98</v>
      </c>
      <c r="D135" t="s">
        <v>16</v>
      </c>
      <c r="E135" t="s">
        <v>21</v>
      </c>
      <c r="F135">
        <v>0</v>
      </c>
      <c r="G135">
        <v>1500</v>
      </c>
      <c r="H135">
        <v>0</v>
      </c>
    </row>
    <row r="136" spans="1:8" x14ac:dyDescent="0.25">
      <c r="A136">
        <v>135</v>
      </c>
      <c r="B136" t="s">
        <v>58</v>
      </c>
      <c r="C136" t="s">
        <v>15</v>
      </c>
      <c r="D136" t="s">
        <v>20</v>
      </c>
      <c r="E136" t="s">
        <v>17</v>
      </c>
      <c r="F136">
        <v>0</v>
      </c>
      <c r="G136">
        <v>1500</v>
      </c>
      <c r="H136">
        <v>0</v>
      </c>
    </row>
    <row r="137" spans="1:8" x14ac:dyDescent="0.25">
      <c r="A137">
        <v>136</v>
      </c>
      <c r="B137" t="s">
        <v>77</v>
      </c>
      <c r="C137" t="s">
        <v>9</v>
      </c>
      <c r="D137" t="s">
        <v>20</v>
      </c>
      <c r="E137" t="s">
        <v>21</v>
      </c>
      <c r="F137">
        <v>-1</v>
      </c>
      <c r="G137">
        <v>700</v>
      </c>
      <c r="H137">
        <v>-700</v>
      </c>
    </row>
    <row r="138" spans="1:8" x14ac:dyDescent="0.25">
      <c r="A138">
        <v>137</v>
      </c>
      <c r="B138" t="s">
        <v>124</v>
      </c>
      <c r="D138" t="s">
        <v>26</v>
      </c>
      <c r="F138">
        <v>5</v>
      </c>
      <c r="G138">
        <v>80</v>
      </c>
      <c r="H138">
        <v>400</v>
      </c>
    </row>
    <row r="139" spans="1:8" x14ac:dyDescent="0.25">
      <c r="A139">
        <v>138</v>
      </c>
      <c r="B139" t="s">
        <v>125</v>
      </c>
      <c r="C139" t="s">
        <v>23</v>
      </c>
      <c r="D139" t="s">
        <v>12</v>
      </c>
      <c r="F139">
        <v>0</v>
      </c>
      <c r="G139">
        <v>50</v>
      </c>
      <c r="H139">
        <v>79</v>
      </c>
    </row>
    <row r="140" spans="1:8" x14ac:dyDescent="0.25">
      <c r="A140">
        <v>139</v>
      </c>
      <c r="B140" t="s">
        <v>126</v>
      </c>
      <c r="C140" t="s">
        <v>23</v>
      </c>
      <c r="D140" t="s">
        <v>20</v>
      </c>
      <c r="E140" t="s">
        <v>28</v>
      </c>
      <c r="F140">
        <v>4</v>
      </c>
      <c r="G140">
        <v>80</v>
      </c>
      <c r="H140">
        <v>320</v>
      </c>
    </row>
    <row r="141" spans="1:8" x14ac:dyDescent="0.25">
      <c r="A141">
        <v>140</v>
      </c>
      <c r="B141" t="s">
        <v>127</v>
      </c>
      <c r="C141" t="s">
        <v>15</v>
      </c>
      <c r="D141" t="s">
        <v>16</v>
      </c>
      <c r="E141" t="s">
        <v>17</v>
      </c>
      <c r="F141">
        <v>-3</v>
      </c>
      <c r="G141">
        <v>80</v>
      </c>
      <c r="H141">
        <v>-240</v>
      </c>
    </row>
    <row r="142" spans="1:8" x14ac:dyDescent="0.25">
      <c r="A142">
        <v>141</v>
      </c>
      <c r="B142" t="s">
        <v>77</v>
      </c>
      <c r="D142" t="s">
        <v>26</v>
      </c>
      <c r="E142" t="s">
        <v>17</v>
      </c>
      <c r="F142">
        <v>2</v>
      </c>
      <c r="G142">
        <v>1500</v>
      </c>
      <c r="H142">
        <v>3000</v>
      </c>
    </row>
    <row r="143" spans="1:8" x14ac:dyDescent="0.25">
      <c r="A143">
        <v>142</v>
      </c>
      <c r="B143" t="s">
        <v>128</v>
      </c>
      <c r="C143" t="s">
        <v>23</v>
      </c>
      <c r="D143" t="s">
        <v>20</v>
      </c>
      <c r="E143" t="s">
        <v>17</v>
      </c>
      <c r="F143">
        <v>-2</v>
      </c>
      <c r="G143">
        <v>1500</v>
      </c>
      <c r="H143">
        <v>-3000</v>
      </c>
    </row>
    <row r="144" spans="1:8" x14ac:dyDescent="0.25">
      <c r="A144">
        <v>143</v>
      </c>
      <c r="B144" t="s">
        <v>57</v>
      </c>
      <c r="C144" t="s">
        <v>23</v>
      </c>
      <c r="D144" t="s">
        <v>12</v>
      </c>
      <c r="E144" t="s">
        <v>17</v>
      </c>
      <c r="F144">
        <v>-2</v>
      </c>
      <c r="G144">
        <v>50</v>
      </c>
      <c r="H144">
        <v>-19</v>
      </c>
    </row>
    <row r="145" spans="1:8" x14ac:dyDescent="0.25">
      <c r="A145">
        <v>144</v>
      </c>
      <c r="B145" t="s">
        <v>129</v>
      </c>
      <c r="C145" t="s">
        <v>9</v>
      </c>
      <c r="D145" t="s">
        <v>16</v>
      </c>
      <c r="E145" t="s">
        <v>28</v>
      </c>
      <c r="F145">
        <v>-3</v>
      </c>
      <c r="G145">
        <v>80</v>
      </c>
      <c r="H145">
        <v>-240</v>
      </c>
    </row>
    <row r="146" spans="1:8" x14ac:dyDescent="0.25">
      <c r="A146">
        <v>145</v>
      </c>
      <c r="B146" t="s">
        <v>130</v>
      </c>
      <c r="C146" t="s">
        <v>23</v>
      </c>
      <c r="D146" t="s">
        <v>10</v>
      </c>
      <c r="E146" t="s">
        <v>13</v>
      </c>
      <c r="F146">
        <v>-1</v>
      </c>
      <c r="G146">
        <v>80</v>
      </c>
      <c r="H146">
        <v>-80</v>
      </c>
    </row>
    <row r="147" spans="1:8" x14ac:dyDescent="0.25">
      <c r="A147">
        <v>146</v>
      </c>
      <c r="B147" t="s">
        <v>131</v>
      </c>
      <c r="C147" t="s">
        <v>15</v>
      </c>
      <c r="D147" t="s">
        <v>20</v>
      </c>
      <c r="E147" t="s">
        <v>21</v>
      </c>
      <c r="F147">
        <v>0</v>
      </c>
      <c r="G147">
        <v>1500</v>
      </c>
      <c r="H147">
        <v>0</v>
      </c>
    </row>
    <row r="148" spans="1:8" x14ac:dyDescent="0.25">
      <c r="A148">
        <v>147</v>
      </c>
      <c r="B148" t="s">
        <v>132</v>
      </c>
      <c r="D148" t="s">
        <v>10</v>
      </c>
      <c r="E148" t="s">
        <v>21</v>
      </c>
      <c r="F148">
        <v>-1</v>
      </c>
      <c r="G148">
        <v>50</v>
      </c>
      <c r="H148">
        <v>-50</v>
      </c>
    </row>
    <row r="149" spans="1:8" x14ac:dyDescent="0.25">
      <c r="A149">
        <v>148</v>
      </c>
      <c r="B149" t="s">
        <v>43</v>
      </c>
      <c r="C149" t="s">
        <v>9</v>
      </c>
      <c r="D149" t="s">
        <v>26</v>
      </c>
      <c r="E149" t="s">
        <v>28</v>
      </c>
      <c r="F149">
        <v>-3</v>
      </c>
      <c r="G149">
        <v>1500</v>
      </c>
      <c r="H149">
        <v>-4500</v>
      </c>
    </row>
    <row r="150" spans="1:8" x14ac:dyDescent="0.25">
      <c r="A150">
        <v>149</v>
      </c>
      <c r="B150" t="s">
        <v>133</v>
      </c>
      <c r="C150" t="s">
        <v>9</v>
      </c>
      <c r="D150" t="s">
        <v>12</v>
      </c>
      <c r="E150" t="s">
        <v>21</v>
      </c>
      <c r="F150">
        <v>0</v>
      </c>
      <c r="G150">
        <v>1500</v>
      </c>
      <c r="H150">
        <v>0</v>
      </c>
    </row>
    <row r="151" spans="1:8" x14ac:dyDescent="0.25">
      <c r="A151">
        <v>150</v>
      </c>
      <c r="B151" t="s">
        <v>101</v>
      </c>
      <c r="C151" t="s">
        <v>9</v>
      </c>
      <c r="D151" t="s">
        <v>20</v>
      </c>
      <c r="E151" t="s">
        <v>21</v>
      </c>
      <c r="F151">
        <v>-2</v>
      </c>
      <c r="G151">
        <v>50</v>
      </c>
      <c r="H151">
        <v>-100</v>
      </c>
    </row>
    <row r="152" spans="1:8" x14ac:dyDescent="0.25">
      <c r="A152">
        <v>151</v>
      </c>
      <c r="B152" t="s">
        <v>134</v>
      </c>
      <c r="C152" t="s">
        <v>15</v>
      </c>
      <c r="D152" t="s">
        <v>12</v>
      </c>
      <c r="E152" t="s">
        <v>13</v>
      </c>
      <c r="F152">
        <v>-3</v>
      </c>
      <c r="G152">
        <v>1500</v>
      </c>
      <c r="H152">
        <v>-4500</v>
      </c>
    </row>
    <row r="153" spans="1:8" x14ac:dyDescent="0.25">
      <c r="A153">
        <v>152</v>
      </c>
      <c r="B153" t="s">
        <v>135</v>
      </c>
      <c r="C153" t="s">
        <v>9</v>
      </c>
      <c r="D153" t="s">
        <v>16</v>
      </c>
      <c r="E153" t="s">
        <v>21</v>
      </c>
      <c r="F153">
        <v>2</v>
      </c>
      <c r="G153">
        <v>50</v>
      </c>
      <c r="H153">
        <v>100</v>
      </c>
    </row>
    <row r="154" spans="1:8" x14ac:dyDescent="0.25">
      <c r="A154">
        <v>153</v>
      </c>
      <c r="B154" t="s">
        <v>93</v>
      </c>
      <c r="C154" t="s">
        <v>9</v>
      </c>
      <c r="D154" t="s">
        <v>10</v>
      </c>
      <c r="E154" t="s">
        <v>21</v>
      </c>
      <c r="F154">
        <v>-2</v>
      </c>
      <c r="G154">
        <v>80</v>
      </c>
      <c r="H154">
        <v>-160</v>
      </c>
    </row>
    <row r="155" spans="1:8" x14ac:dyDescent="0.25">
      <c r="A155">
        <v>154</v>
      </c>
      <c r="B155" t="s">
        <v>136</v>
      </c>
      <c r="C155" t="s">
        <v>23</v>
      </c>
      <c r="D155" t="s">
        <v>16</v>
      </c>
      <c r="E155" t="s">
        <v>28</v>
      </c>
      <c r="F155">
        <v>-2</v>
      </c>
      <c r="G155">
        <v>50</v>
      </c>
      <c r="H155">
        <v>-29</v>
      </c>
    </row>
    <row r="156" spans="1:8" x14ac:dyDescent="0.25">
      <c r="A156">
        <v>155</v>
      </c>
      <c r="B156" t="s">
        <v>76</v>
      </c>
      <c r="C156" t="s">
        <v>9</v>
      </c>
      <c r="D156" t="s">
        <v>10</v>
      </c>
      <c r="F156">
        <v>-2</v>
      </c>
      <c r="G156">
        <v>80</v>
      </c>
      <c r="H156">
        <v>-81</v>
      </c>
    </row>
    <row r="157" spans="1:8" x14ac:dyDescent="0.25">
      <c r="A157">
        <v>156</v>
      </c>
      <c r="B157" t="s">
        <v>137</v>
      </c>
      <c r="C157" t="s">
        <v>15</v>
      </c>
      <c r="D157" t="s">
        <v>12</v>
      </c>
      <c r="E157" t="s">
        <v>28</v>
      </c>
      <c r="F157">
        <v>0</v>
      </c>
      <c r="G157">
        <v>80</v>
      </c>
      <c r="H157">
        <v>0</v>
      </c>
    </row>
    <row r="158" spans="1:8" x14ac:dyDescent="0.25">
      <c r="A158">
        <v>157</v>
      </c>
      <c r="B158" t="s">
        <v>138</v>
      </c>
      <c r="C158" t="s">
        <v>23</v>
      </c>
      <c r="D158" t="s">
        <v>20</v>
      </c>
      <c r="E158" t="s">
        <v>28</v>
      </c>
      <c r="F158">
        <v>0</v>
      </c>
      <c r="G158">
        <v>50</v>
      </c>
      <c r="H158">
        <v>0</v>
      </c>
    </row>
    <row r="159" spans="1:8" x14ac:dyDescent="0.25">
      <c r="A159">
        <v>158</v>
      </c>
      <c r="B159" t="s">
        <v>73</v>
      </c>
      <c r="C159" t="s">
        <v>15</v>
      </c>
      <c r="D159" t="s">
        <v>10</v>
      </c>
      <c r="E159" t="s">
        <v>21</v>
      </c>
      <c r="F159">
        <v>0</v>
      </c>
      <c r="G159">
        <v>1500</v>
      </c>
      <c r="H159">
        <v>0</v>
      </c>
    </row>
    <row r="160" spans="1:8" x14ac:dyDescent="0.25">
      <c r="A160">
        <v>159</v>
      </c>
      <c r="B160" t="s">
        <v>74</v>
      </c>
      <c r="C160" t="s">
        <v>23</v>
      </c>
      <c r="D160" t="s">
        <v>10</v>
      </c>
      <c r="E160" t="s">
        <v>28</v>
      </c>
      <c r="F160">
        <v>3</v>
      </c>
      <c r="G160">
        <v>1500</v>
      </c>
      <c r="H160">
        <v>4500</v>
      </c>
    </row>
    <row r="161" spans="1:8" x14ac:dyDescent="0.25">
      <c r="A161">
        <v>160</v>
      </c>
      <c r="B161" t="s">
        <v>120</v>
      </c>
      <c r="C161" t="s">
        <v>9</v>
      </c>
      <c r="D161" t="s">
        <v>10</v>
      </c>
      <c r="F161">
        <v>0</v>
      </c>
      <c r="G161">
        <v>1500</v>
      </c>
      <c r="H161">
        <v>0</v>
      </c>
    </row>
    <row r="162" spans="1:8" x14ac:dyDescent="0.25">
      <c r="A162">
        <v>161</v>
      </c>
      <c r="B162" t="s">
        <v>71</v>
      </c>
      <c r="C162" t="s">
        <v>19</v>
      </c>
      <c r="D162" t="s">
        <v>16</v>
      </c>
      <c r="E162" t="s">
        <v>21</v>
      </c>
      <c r="F162">
        <v>0</v>
      </c>
      <c r="G162">
        <v>80</v>
      </c>
      <c r="H162">
        <v>0</v>
      </c>
    </row>
    <row r="163" spans="1:8" x14ac:dyDescent="0.25">
      <c r="A163">
        <v>162</v>
      </c>
      <c r="B163" t="s">
        <v>119</v>
      </c>
      <c r="C163" t="s">
        <v>15</v>
      </c>
      <c r="D163" t="s">
        <v>12</v>
      </c>
      <c r="E163" t="s">
        <v>17</v>
      </c>
      <c r="F163">
        <v>4</v>
      </c>
      <c r="G163">
        <v>50</v>
      </c>
      <c r="H163">
        <v>245</v>
      </c>
    </row>
    <row r="164" spans="1:8" x14ac:dyDescent="0.25">
      <c r="A164">
        <v>163</v>
      </c>
      <c r="B164" t="s">
        <v>139</v>
      </c>
      <c r="C164" t="s">
        <v>9</v>
      </c>
      <c r="D164" t="s">
        <v>10</v>
      </c>
      <c r="E164" t="s">
        <v>21</v>
      </c>
      <c r="F164">
        <v>5</v>
      </c>
      <c r="G164">
        <v>700</v>
      </c>
      <c r="H164">
        <v>3599</v>
      </c>
    </row>
    <row r="165" spans="1:8" x14ac:dyDescent="0.25">
      <c r="A165">
        <v>164</v>
      </c>
      <c r="B165" t="s">
        <v>127</v>
      </c>
      <c r="C165" t="s">
        <v>19</v>
      </c>
      <c r="D165" t="s">
        <v>20</v>
      </c>
      <c r="F165">
        <v>1</v>
      </c>
      <c r="G165">
        <v>1500</v>
      </c>
      <c r="H165">
        <v>1500</v>
      </c>
    </row>
    <row r="166" spans="1:8" x14ac:dyDescent="0.25">
      <c r="A166">
        <v>165</v>
      </c>
      <c r="B166" t="s">
        <v>48</v>
      </c>
      <c r="C166" t="s">
        <v>15</v>
      </c>
      <c r="D166" t="s">
        <v>20</v>
      </c>
      <c r="E166" t="s">
        <v>17</v>
      </c>
      <c r="F166">
        <v>0</v>
      </c>
      <c r="G166">
        <v>1500</v>
      </c>
      <c r="H166">
        <v>64</v>
      </c>
    </row>
    <row r="167" spans="1:8" x14ac:dyDescent="0.25">
      <c r="A167">
        <v>166</v>
      </c>
      <c r="B167" t="s">
        <v>24</v>
      </c>
      <c r="D167" t="s">
        <v>10</v>
      </c>
      <c r="E167" t="s">
        <v>17</v>
      </c>
      <c r="F167">
        <v>-1</v>
      </c>
      <c r="G167">
        <v>700</v>
      </c>
      <c r="H167">
        <v>-640</v>
      </c>
    </row>
    <row r="168" spans="1:8" x14ac:dyDescent="0.25">
      <c r="A168">
        <v>167</v>
      </c>
      <c r="B168" t="s">
        <v>103</v>
      </c>
      <c r="C168" t="s">
        <v>9</v>
      </c>
      <c r="D168" t="s">
        <v>12</v>
      </c>
      <c r="E168" t="s">
        <v>28</v>
      </c>
      <c r="F168">
        <v>0</v>
      </c>
      <c r="G168">
        <v>1500</v>
      </c>
      <c r="H168">
        <v>0</v>
      </c>
    </row>
    <row r="169" spans="1:8" x14ac:dyDescent="0.25">
      <c r="A169">
        <v>168</v>
      </c>
      <c r="B169" t="s">
        <v>41</v>
      </c>
      <c r="C169" t="s">
        <v>9</v>
      </c>
      <c r="D169" t="s">
        <v>12</v>
      </c>
      <c r="E169" t="s">
        <v>13</v>
      </c>
      <c r="F169">
        <v>2</v>
      </c>
      <c r="G169">
        <v>50</v>
      </c>
      <c r="H169">
        <v>140</v>
      </c>
    </row>
    <row r="170" spans="1:8" x14ac:dyDescent="0.25">
      <c r="A170">
        <v>169</v>
      </c>
      <c r="B170" t="s">
        <v>140</v>
      </c>
      <c r="C170" t="s">
        <v>19</v>
      </c>
      <c r="D170" t="s">
        <v>16</v>
      </c>
      <c r="F170">
        <v>-2</v>
      </c>
      <c r="G170">
        <v>1500</v>
      </c>
      <c r="H170">
        <v>-2905</v>
      </c>
    </row>
    <row r="171" spans="1:8" x14ac:dyDescent="0.25">
      <c r="A171">
        <v>170</v>
      </c>
      <c r="B171" t="s">
        <v>117</v>
      </c>
      <c r="C171" t="s">
        <v>23</v>
      </c>
      <c r="D171" t="s">
        <v>20</v>
      </c>
      <c r="E171" t="s">
        <v>13</v>
      </c>
      <c r="F171">
        <v>-1</v>
      </c>
      <c r="G171">
        <v>1500</v>
      </c>
      <c r="H171">
        <v>-1500</v>
      </c>
    </row>
    <row r="172" spans="1:8" x14ac:dyDescent="0.25">
      <c r="A172">
        <v>171</v>
      </c>
      <c r="B172" t="s">
        <v>141</v>
      </c>
      <c r="C172" t="s">
        <v>9</v>
      </c>
      <c r="D172" t="s">
        <v>20</v>
      </c>
      <c r="E172" t="s">
        <v>17</v>
      </c>
      <c r="F172">
        <v>0</v>
      </c>
      <c r="G172">
        <v>80</v>
      </c>
      <c r="H172">
        <v>0</v>
      </c>
    </row>
    <row r="173" spans="1:8" x14ac:dyDescent="0.25">
      <c r="A173">
        <v>172</v>
      </c>
      <c r="B173" t="s">
        <v>142</v>
      </c>
      <c r="C173" t="s">
        <v>19</v>
      </c>
      <c r="D173" t="s">
        <v>20</v>
      </c>
      <c r="F173">
        <v>-1</v>
      </c>
      <c r="G173">
        <v>1500</v>
      </c>
      <c r="H173">
        <v>-1500</v>
      </c>
    </row>
    <row r="174" spans="1:8" x14ac:dyDescent="0.25">
      <c r="A174">
        <v>173</v>
      </c>
      <c r="B174" t="s">
        <v>121</v>
      </c>
      <c r="D174" t="s">
        <v>26</v>
      </c>
      <c r="E174" t="s">
        <v>28</v>
      </c>
      <c r="F174">
        <v>4</v>
      </c>
      <c r="G174">
        <v>50</v>
      </c>
      <c r="H174">
        <v>200</v>
      </c>
    </row>
    <row r="175" spans="1:8" x14ac:dyDescent="0.25">
      <c r="A175">
        <v>174</v>
      </c>
      <c r="B175" t="s">
        <v>142</v>
      </c>
      <c r="C175" t="s">
        <v>15</v>
      </c>
      <c r="D175" t="s">
        <v>26</v>
      </c>
      <c r="E175" t="s">
        <v>13</v>
      </c>
      <c r="F175">
        <v>2</v>
      </c>
      <c r="G175">
        <v>700</v>
      </c>
      <c r="H175">
        <v>1400</v>
      </c>
    </row>
    <row r="176" spans="1:8" x14ac:dyDescent="0.25">
      <c r="A176">
        <v>175</v>
      </c>
      <c r="B176" t="s">
        <v>80</v>
      </c>
      <c r="C176" t="s">
        <v>15</v>
      </c>
      <c r="D176" t="s">
        <v>26</v>
      </c>
      <c r="E176" t="s">
        <v>13</v>
      </c>
      <c r="F176">
        <v>-1</v>
      </c>
      <c r="G176">
        <v>700</v>
      </c>
      <c r="H176">
        <v>-700</v>
      </c>
    </row>
    <row r="177" spans="1:8" x14ac:dyDescent="0.25">
      <c r="A177">
        <v>176</v>
      </c>
      <c r="B177" t="s">
        <v>143</v>
      </c>
      <c r="C177" t="s">
        <v>15</v>
      </c>
      <c r="D177" t="s">
        <v>26</v>
      </c>
      <c r="F177">
        <v>-1</v>
      </c>
      <c r="G177">
        <v>50</v>
      </c>
      <c r="H177">
        <v>-3</v>
      </c>
    </row>
    <row r="178" spans="1:8" x14ac:dyDescent="0.25">
      <c r="A178">
        <v>177</v>
      </c>
      <c r="B178" t="s">
        <v>60</v>
      </c>
      <c r="C178" t="s">
        <v>9</v>
      </c>
      <c r="D178" t="s">
        <v>12</v>
      </c>
      <c r="E178" t="s">
        <v>17</v>
      </c>
      <c r="F178">
        <v>-3</v>
      </c>
      <c r="G178">
        <v>80</v>
      </c>
      <c r="H178">
        <v>-240</v>
      </c>
    </row>
    <row r="179" spans="1:8" x14ac:dyDescent="0.25">
      <c r="A179">
        <v>178</v>
      </c>
      <c r="B179" t="s">
        <v>58</v>
      </c>
      <c r="D179" t="s">
        <v>20</v>
      </c>
      <c r="E179" t="s">
        <v>17</v>
      </c>
      <c r="F179">
        <v>0</v>
      </c>
      <c r="G179">
        <v>80</v>
      </c>
      <c r="H179">
        <v>77</v>
      </c>
    </row>
    <row r="180" spans="1:8" x14ac:dyDescent="0.25">
      <c r="A180">
        <v>179</v>
      </c>
      <c r="B180" t="s">
        <v>45</v>
      </c>
      <c r="C180" t="s">
        <v>19</v>
      </c>
      <c r="D180" t="s">
        <v>12</v>
      </c>
      <c r="E180" t="s">
        <v>17</v>
      </c>
      <c r="F180">
        <v>0</v>
      </c>
      <c r="G180">
        <v>700</v>
      </c>
      <c r="H180">
        <v>0</v>
      </c>
    </row>
    <row r="181" spans="1:8" x14ac:dyDescent="0.25">
      <c r="A181">
        <v>180</v>
      </c>
      <c r="B181" t="s">
        <v>144</v>
      </c>
      <c r="C181" t="s">
        <v>9</v>
      </c>
      <c r="D181" t="s">
        <v>12</v>
      </c>
      <c r="E181" t="s">
        <v>13</v>
      </c>
      <c r="F181">
        <v>0</v>
      </c>
      <c r="G181">
        <v>50</v>
      </c>
      <c r="H181">
        <v>0</v>
      </c>
    </row>
    <row r="182" spans="1:8" x14ac:dyDescent="0.25">
      <c r="A182">
        <v>181</v>
      </c>
      <c r="B182" t="s">
        <v>119</v>
      </c>
      <c r="C182" t="s">
        <v>9</v>
      </c>
      <c r="D182" t="s">
        <v>10</v>
      </c>
      <c r="E182" t="s">
        <v>21</v>
      </c>
      <c r="F182">
        <v>0</v>
      </c>
      <c r="G182">
        <v>700</v>
      </c>
      <c r="H182">
        <v>0</v>
      </c>
    </row>
    <row r="183" spans="1:8" x14ac:dyDescent="0.25">
      <c r="A183">
        <v>182</v>
      </c>
      <c r="B183" t="s">
        <v>145</v>
      </c>
      <c r="C183" t="s">
        <v>19</v>
      </c>
      <c r="D183" t="s">
        <v>10</v>
      </c>
      <c r="F183">
        <v>0</v>
      </c>
      <c r="G183">
        <v>50</v>
      </c>
      <c r="H183">
        <v>0</v>
      </c>
    </row>
    <row r="184" spans="1:8" x14ac:dyDescent="0.25">
      <c r="A184">
        <v>183</v>
      </c>
      <c r="B184" t="s">
        <v>126</v>
      </c>
      <c r="C184" t="s">
        <v>9</v>
      </c>
      <c r="D184" t="s">
        <v>12</v>
      </c>
      <c r="E184" t="s">
        <v>13</v>
      </c>
      <c r="F184">
        <v>-1</v>
      </c>
      <c r="G184">
        <v>1500</v>
      </c>
      <c r="H184">
        <v>-1410</v>
      </c>
    </row>
    <row r="185" spans="1:8" x14ac:dyDescent="0.25">
      <c r="A185">
        <v>184</v>
      </c>
      <c r="B185" t="s">
        <v>146</v>
      </c>
      <c r="C185" t="s">
        <v>23</v>
      </c>
      <c r="D185" t="s">
        <v>16</v>
      </c>
      <c r="E185" t="s">
        <v>21</v>
      </c>
      <c r="F185">
        <v>0</v>
      </c>
      <c r="G185">
        <v>80</v>
      </c>
      <c r="H185">
        <v>0</v>
      </c>
    </row>
    <row r="186" spans="1:8" x14ac:dyDescent="0.25">
      <c r="A186">
        <v>185</v>
      </c>
      <c r="B186" t="s">
        <v>86</v>
      </c>
      <c r="C186" t="s">
        <v>9</v>
      </c>
      <c r="D186" t="s">
        <v>12</v>
      </c>
      <c r="F186">
        <v>-3</v>
      </c>
      <c r="G186">
        <v>1500</v>
      </c>
      <c r="H186">
        <v>-4500</v>
      </c>
    </row>
    <row r="187" spans="1:8" x14ac:dyDescent="0.25">
      <c r="A187">
        <v>186</v>
      </c>
      <c r="B187" t="s">
        <v>147</v>
      </c>
      <c r="C187" t="s">
        <v>9</v>
      </c>
      <c r="D187" t="s">
        <v>20</v>
      </c>
      <c r="E187" t="s">
        <v>17</v>
      </c>
      <c r="F187">
        <v>0</v>
      </c>
      <c r="G187">
        <v>700</v>
      </c>
      <c r="H187">
        <v>0</v>
      </c>
    </row>
    <row r="188" spans="1:8" x14ac:dyDescent="0.25">
      <c r="A188">
        <v>187</v>
      </c>
      <c r="B188" t="s">
        <v>148</v>
      </c>
      <c r="C188" t="s">
        <v>15</v>
      </c>
      <c r="D188" t="s">
        <v>16</v>
      </c>
      <c r="E188" t="s">
        <v>21</v>
      </c>
      <c r="F188">
        <v>5</v>
      </c>
      <c r="G188">
        <v>700</v>
      </c>
      <c r="H188">
        <v>3500</v>
      </c>
    </row>
    <row r="189" spans="1:8" x14ac:dyDescent="0.25">
      <c r="A189">
        <v>188</v>
      </c>
      <c r="B189" t="s">
        <v>149</v>
      </c>
      <c r="C189" t="s">
        <v>9</v>
      </c>
      <c r="D189" t="s">
        <v>26</v>
      </c>
      <c r="F189">
        <v>2</v>
      </c>
      <c r="G189">
        <v>80</v>
      </c>
      <c r="H189">
        <v>160</v>
      </c>
    </row>
    <row r="190" spans="1:8" x14ac:dyDescent="0.25">
      <c r="A190">
        <v>189</v>
      </c>
      <c r="B190" t="s">
        <v>37</v>
      </c>
      <c r="C190" t="s">
        <v>15</v>
      </c>
      <c r="D190" t="s">
        <v>10</v>
      </c>
      <c r="E190" t="s">
        <v>17</v>
      </c>
      <c r="F190">
        <v>0</v>
      </c>
      <c r="G190">
        <v>50</v>
      </c>
      <c r="H190">
        <v>88</v>
      </c>
    </row>
    <row r="191" spans="1:8" x14ac:dyDescent="0.25">
      <c r="A191">
        <v>190</v>
      </c>
      <c r="B191" t="s">
        <v>125</v>
      </c>
      <c r="C191" t="s">
        <v>23</v>
      </c>
      <c r="D191" t="s">
        <v>12</v>
      </c>
      <c r="E191" t="s">
        <v>21</v>
      </c>
      <c r="F191">
        <v>0</v>
      </c>
      <c r="G191">
        <v>80</v>
      </c>
      <c r="H191">
        <v>0</v>
      </c>
    </row>
    <row r="192" spans="1:8" x14ac:dyDescent="0.25">
      <c r="A192">
        <v>191</v>
      </c>
      <c r="B192" t="s">
        <v>150</v>
      </c>
      <c r="C192" t="s">
        <v>9</v>
      </c>
      <c r="D192" t="s">
        <v>12</v>
      </c>
      <c r="E192" t="s">
        <v>28</v>
      </c>
      <c r="F192">
        <v>0</v>
      </c>
      <c r="G192">
        <v>1500</v>
      </c>
      <c r="H192">
        <v>0</v>
      </c>
    </row>
    <row r="193" spans="1:8" x14ac:dyDescent="0.25">
      <c r="A193">
        <v>192</v>
      </c>
      <c r="B193" t="s">
        <v>122</v>
      </c>
      <c r="C193" t="s">
        <v>15</v>
      </c>
      <c r="D193" t="s">
        <v>20</v>
      </c>
      <c r="E193" t="s">
        <v>28</v>
      </c>
      <c r="F193">
        <v>2</v>
      </c>
      <c r="G193">
        <v>700</v>
      </c>
      <c r="H193">
        <v>1400</v>
      </c>
    </row>
    <row r="194" spans="1:8" x14ac:dyDescent="0.25">
      <c r="A194">
        <v>193</v>
      </c>
      <c r="B194" t="s">
        <v>8</v>
      </c>
      <c r="C194" t="s">
        <v>19</v>
      </c>
      <c r="D194" t="s">
        <v>20</v>
      </c>
      <c r="E194" t="s">
        <v>13</v>
      </c>
      <c r="F194">
        <v>-2</v>
      </c>
      <c r="G194">
        <v>700</v>
      </c>
      <c r="H194">
        <v>-1328</v>
      </c>
    </row>
    <row r="195" spans="1:8" x14ac:dyDescent="0.25">
      <c r="A195">
        <v>194</v>
      </c>
      <c r="B195" t="s">
        <v>151</v>
      </c>
      <c r="D195" t="s">
        <v>16</v>
      </c>
      <c r="F195">
        <v>-1</v>
      </c>
      <c r="G195">
        <v>50</v>
      </c>
      <c r="H195">
        <v>-50</v>
      </c>
    </row>
    <row r="196" spans="1:8" x14ac:dyDescent="0.25">
      <c r="A196">
        <v>195</v>
      </c>
      <c r="B196" t="s">
        <v>66</v>
      </c>
      <c r="C196" t="s">
        <v>19</v>
      </c>
      <c r="D196" t="s">
        <v>10</v>
      </c>
      <c r="F196">
        <v>0</v>
      </c>
      <c r="G196">
        <v>50</v>
      </c>
      <c r="H196">
        <v>0</v>
      </c>
    </row>
    <row r="197" spans="1:8" x14ac:dyDescent="0.25">
      <c r="A197">
        <v>196</v>
      </c>
      <c r="B197" t="s">
        <v>152</v>
      </c>
      <c r="C197" t="s">
        <v>9</v>
      </c>
      <c r="D197" t="s">
        <v>16</v>
      </c>
      <c r="E197" t="s">
        <v>28</v>
      </c>
      <c r="F197">
        <v>1</v>
      </c>
      <c r="G197">
        <v>80</v>
      </c>
      <c r="H197">
        <v>80</v>
      </c>
    </row>
    <row r="198" spans="1:8" x14ac:dyDescent="0.25">
      <c r="A198">
        <v>197</v>
      </c>
      <c r="B198" t="s">
        <v>153</v>
      </c>
      <c r="C198" t="s">
        <v>23</v>
      </c>
      <c r="D198" t="s">
        <v>26</v>
      </c>
      <c r="F198">
        <v>4</v>
      </c>
      <c r="G198">
        <v>1500</v>
      </c>
      <c r="H198">
        <v>6090</v>
      </c>
    </row>
    <row r="199" spans="1:8" x14ac:dyDescent="0.25">
      <c r="A199">
        <v>198</v>
      </c>
      <c r="B199" t="s">
        <v>154</v>
      </c>
      <c r="C199" t="s">
        <v>23</v>
      </c>
      <c r="D199" t="s">
        <v>10</v>
      </c>
      <c r="E199" t="s">
        <v>13</v>
      </c>
      <c r="F199">
        <v>-2</v>
      </c>
      <c r="G199">
        <v>1500</v>
      </c>
      <c r="H199">
        <v>-3000</v>
      </c>
    </row>
    <row r="200" spans="1:8" x14ac:dyDescent="0.25">
      <c r="A200">
        <v>199</v>
      </c>
      <c r="B200" t="s">
        <v>140</v>
      </c>
      <c r="C200" t="s">
        <v>9</v>
      </c>
      <c r="D200" t="s">
        <v>26</v>
      </c>
      <c r="E200" t="s">
        <v>13</v>
      </c>
      <c r="F200">
        <v>-3</v>
      </c>
      <c r="G200">
        <v>80</v>
      </c>
      <c r="H200">
        <v>-240</v>
      </c>
    </row>
    <row r="201" spans="1:8" x14ac:dyDescent="0.25">
      <c r="A201">
        <v>200</v>
      </c>
      <c r="B201" t="s">
        <v>117</v>
      </c>
      <c r="C201" t="s">
        <v>9</v>
      </c>
      <c r="D201" t="s">
        <v>26</v>
      </c>
      <c r="E201" t="s">
        <v>28</v>
      </c>
      <c r="F201">
        <v>2</v>
      </c>
      <c r="G201">
        <v>50</v>
      </c>
      <c r="H201">
        <v>100</v>
      </c>
    </row>
    <row r="202" spans="1:8" x14ac:dyDescent="0.25">
      <c r="A202">
        <v>201</v>
      </c>
      <c r="B202" t="s">
        <v>63</v>
      </c>
      <c r="C202" t="s">
        <v>15</v>
      </c>
      <c r="D202" t="s">
        <v>20</v>
      </c>
      <c r="E202" t="s">
        <v>21</v>
      </c>
      <c r="F202">
        <v>2</v>
      </c>
      <c r="G202">
        <v>1500</v>
      </c>
      <c r="H202">
        <v>3000</v>
      </c>
    </row>
    <row r="203" spans="1:8" x14ac:dyDescent="0.25">
      <c r="A203">
        <v>202</v>
      </c>
      <c r="B203" t="s">
        <v>155</v>
      </c>
      <c r="C203" t="s">
        <v>23</v>
      </c>
      <c r="D203" t="s">
        <v>12</v>
      </c>
      <c r="E203" t="s">
        <v>17</v>
      </c>
      <c r="F203">
        <v>-3</v>
      </c>
      <c r="G203">
        <v>80</v>
      </c>
      <c r="H203">
        <v>-196</v>
      </c>
    </row>
    <row r="204" spans="1:8" x14ac:dyDescent="0.25">
      <c r="A204">
        <v>203</v>
      </c>
      <c r="B204" t="s">
        <v>137</v>
      </c>
      <c r="D204" t="s">
        <v>20</v>
      </c>
      <c r="E204" t="s">
        <v>21</v>
      </c>
      <c r="F204">
        <v>-1</v>
      </c>
      <c r="G204">
        <v>700</v>
      </c>
      <c r="H204">
        <v>-700</v>
      </c>
    </row>
    <row r="205" spans="1:8" x14ac:dyDescent="0.25">
      <c r="A205">
        <v>204</v>
      </c>
      <c r="B205" t="s">
        <v>156</v>
      </c>
      <c r="D205" t="s">
        <v>26</v>
      </c>
      <c r="E205" t="s">
        <v>28</v>
      </c>
      <c r="F205">
        <v>0</v>
      </c>
      <c r="G205">
        <v>50</v>
      </c>
      <c r="H205">
        <v>0</v>
      </c>
    </row>
    <row r="206" spans="1:8" x14ac:dyDescent="0.25">
      <c r="A206">
        <v>205</v>
      </c>
      <c r="B206" t="s">
        <v>30</v>
      </c>
      <c r="D206" t="s">
        <v>16</v>
      </c>
      <c r="E206" t="s">
        <v>21</v>
      </c>
      <c r="F206">
        <v>4</v>
      </c>
      <c r="G206">
        <v>700</v>
      </c>
      <c r="H206">
        <v>2880</v>
      </c>
    </row>
    <row r="207" spans="1:8" x14ac:dyDescent="0.25">
      <c r="A207">
        <v>206</v>
      </c>
      <c r="B207" t="s">
        <v>157</v>
      </c>
      <c r="C207" t="s">
        <v>23</v>
      </c>
      <c r="D207" t="s">
        <v>26</v>
      </c>
      <c r="E207" t="s">
        <v>21</v>
      </c>
      <c r="F207">
        <v>4</v>
      </c>
      <c r="G207">
        <v>1500</v>
      </c>
      <c r="H207">
        <v>6000</v>
      </c>
    </row>
    <row r="208" spans="1:8" x14ac:dyDescent="0.25">
      <c r="A208">
        <v>207</v>
      </c>
      <c r="B208" t="s">
        <v>27</v>
      </c>
      <c r="C208" t="s">
        <v>9</v>
      </c>
      <c r="D208" t="s">
        <v>20</v>
      </c>
      <c r="F208">
        <v>0</v>
      </c>
      <c r="G208">
        <v>700</v>
      </c>
      <c r="H208">
        <v>0</v>
      </c>
    </row>
    <row r="209" spans="1:8" x14ac:dyDescent="0.25">
      <c r="A209">
        <v>208</v>
      </c>
      <c r="B209" t="s">
        <v>155</v>
      </c>
      <c r="D209" t="s">
        <v>20</v>
      </c>
      <c r="E209" t="s">
        <v>13</v>
      </c>
      <c r="F209">
        <v>5</v>
      </c>
      <c r="G209">
        <v>700</v>
      </c>
      <c r="H209">
        <v>3500</v>
      </c>
    </row>
    <row r="210" spans="1:8" x14ac:dyDescent="0.25">
      <c r="A210">
        <v>209</v>
      </c>
      <c r="B210" t="s">
        <v>158</v>
      </c>
      <c r="C210" t="s">
        <v>9</v>
      </c>
      <c r="D210" t="s">
        <v>16</v>
      </c>
      <c r="E210" t="s">
        <v>13</v>
      </c>
      <c r="F210">
        <v>4</v>
      </c>
      <c r="G210">
        <v>700</v>
      </c>
      <c r="H210">
        <v>2800</v>
      </c>
    </row>
    <row r="211" spans="1:8" x14ac:dyDescent="0.25">
      <c r="A211">
        <v>210</v>
      </c>
      <c r="B211" t="s">
        <v>64</v>
      </c>
      <c r="C211" t="s">
        <v>15</v>
      </c>
      <c r="D211" t="s">
        <v>12</v>
      </c>
      <c r="E211" t="s">
        <v>21</v>
      </c>
      <c r="F211">
        <v>-2</v>
      </c>
      <c r="G211">
        <v>80</v>
      </c>
      <c r="H211">
        <v>-160</v>
      </c>
    </row>
    <row r="212" spans="1:8" x14ac:dyDescent="0.25">
      <c r="A212">
        <v>211</v>
      </c>
      <c r="B212" t="s">
        <v>159</v>
      </c>
      <c r="C212" t="s">
        <v>23</v>
      </c>
      <c r="D212" t="s">
        <v>26</v>
      </c>
      <c r="E212" t="s">
        <v>13</v>
      </c>
      <c r="F212">
        <v>2</v>
      </c>
      <c r="G212">
        <v>700</v>
      </c>
      <c r="H212">
        <v>1400</v>
      </c>
    </row>
    <row r="213" spans="1:8" x14ac:dyDescent="0.25">
      <c r="A213">
        <v>212</v>
      </c>
      <c r="B213" t="s">
        <v>160</v>
      </c>
      <c r="C213" t="s">
        <v>9</v>
      </c>
      <c r="D213" t="s">
        <v>10</v>
      </c>
      <c r="E213" t="s">
        <v>13</v>
      </c>
      <c r="F213">
        <v>4</v>
      </c>
      <c r="G213">
        <v>80</v>
      </c>
      <c r="H213">
        <v>350</v>
      </c>
    </row>
    <row r="214" spans="1:8" x14ac:dyDescent="0.25">
      <c r="A214">
        <v>213</v>
      </c>
      <c r="B214" t="s">
        <v>161</v>
      </c>
      <c r="C214" t="s">
        <v>9</v>
      </c>
      <c r="D214" t="s">
        <v>12</v>
      </c>
      <c r="E214" t="s">
        <v>17</v>
      </c>
      <c r="F214">
        <v>0</v>
      </c>
      <c r="G214">
        <v>700</v>
      </c>
      <c r="H214">
        <v>0</v>
      </c>
    </row>
    <row r="215" spans="1:8" x14ac:dyDescent="0.25">
      <c r="A215">
        <v>214</v>
      </c>
      <c r="B215" t="s">
        <v>162</v>
      </c>
      <c r="C215" t="s">
        <v>23</v>
      </c>
      <c r="D215" t="s">
        <v>10</v>
      </c>
      <c r="E215" t="s">
        <v>17</v>
      </c>
      <c r="F215">
        <v>4</v>
      </c>
      <c r="G215">
        <v>1500</v>
      </c>
      <c r="H215">
        <v>6033</v>
      </c>
    </row>
    <row r="216" spans="1:8" x14ac:dyDescent="0.25">
      <c r="A216">
        <v>215</v>
      </c>
      <c r="B216" t="s">
        <v>142</v>
      </c>
      <c r="D216" t="s">
        <v>10</v>
      </c>
      <c r="E216" t="s">
        <v>28</v>
      </c>
      <c r="F216">
        <v>2</v>
      </c>
      <c r="G216">
        <v>50</v>
      </c>
      <c r="H216">
        <v>100</v>
      </c>
    </row>
    <row r="217" spans="1:8" x14ac:dyDescent="0.25">
      <c r="A217">
        <v>216</v>
      </c>
      <c r="B217" t="s">
        <v>163</v>
      </c>
      <c r="C217" t="s">
        <v>15</v>
      </c>
      <c r="D217" t="s">
        <v>10</v>
      </c>
      <c r="F217">
        <v>3</v>
      </c>
      <c r="G217">
        <v>80</v>
      </c>
      <c r="H217">
        <v>240</v>
      </c>
    </row>
    <row r="218" spans="1:8" x14ac:dyDescent="0.25">
      <c r="A218">
        <v>217</v>
      </c>
      <c r="B218" t="s">
        <v>164</v>
      </c>
      <c r="C218" t="s">
        <v>15</v>
      </c>
      <c r="D218" t="s">
        <v>12</v>
      </c>
      <c r="E218" t="s">
        <v>28</v>
      </c>
      <c r="F218">
        <v>2</v>
      </c>
      <c r="G218">
        <v>700</v>
      </c>
      <c r="H218">
        <v>1400</v>
      </c>
    </row>
    <row r="219" spans="1:8" x14ac:dyDescent="0.25">
      <c r="A219">
        <v>218</v>
      </c>
      <c r="B219" t="s">
        <v>165</v>
      </c>
      <c r="C219" t="s">
        <v>23</v>
      </c>
      <c r="D219" t="s">
        <v>16</v>
      </c>
      <c r="E219" t="s">
        <v>17</v>
      </c>
      <c r="F219">
        <v>5</v>
      </c>
      <c r="G219">
        <v>1500</v>
      </c>
      <c r="H219">
        <v>7531</v>
      </c>
    </row>
    <row r="220" spans="1:8" x14ac:dyDescent="0.25">
      <c r="A220">
        <v>219</v>
      </c>
      <c r="B220" t="s">
        <v>149</v>
      </c>
      <c r="C220" t="s">
        <v>23</v>
      </c>
      <c r="D220" t="s">
        <v>26</v>
      </c>
      <c r="E220" t="s">
        <v>21</v>
      </c>
      <c r="F220">
        <v>-2</v>
      </c>
      <c r="G220">
        <v>50</v>
      </c>
      <c r="H220">
        <v>-100</v>
      </c>
    </row>
    <row r="221" spans="1:8" x14ac:dyDescent="0.25">
      <c r="A221">
        <v>220</v>
      </c>
      <c r="B221" t="s">
        <v>166</v>
      </c>
      <c r="D221" t="s">
        <v>10</v>
      </c>
      <c r="E221" t="s">
        <v>17</v>
      </c>
      <c r="F221">
        <v>1</v>
      </c>
      <c r="G221">
        <v>80</v>
      </c>
      <c r="H221">
        <v>80</v>
      </c>
    </row>
    <row r="222" spans="1:8" x14ac:dyDescent="0.25">
      <c r="A222">
        <v>221</v>
      </c>
      <c r="B222" t="s">
        <v>40</v>
      </c>
      <c r="D222" t="s">
        <v>10</v>
      </c>
      <c r="F222">
        <v>0</v>
      </c>
      <c r="G222">
        <v>80</v>
      </c>
      <c r="H222">
        <v>0</v>
      </c>
    </row>
    <row r="223" spans="1:8" x14ac:dyDescent="0.25">
      <c r="A223">
        <v>222</v>
      </c>
      <c r="B223" t="s">
        <v>167</v>
      </c>
      <c r="C223" t="s">
        <v>15</v>
      </c>
      <c r="D223" t="s">
        <v>16</v>
      </c>
      <c r="E223" t="s">
        <v>21</v>
      </c>
      <c r="F223">
        <v>-2</v>
      </c>
      <c r="G223">
        <v>50</v>
      </c>
      <c r="H223">
        <v>-100</v>
      </c>
    </row>
    <row r="224" spans="1:8" x14ac:dyDescent="0.25">
      <c r="A224">
        <v>223</v>
      </c>
      <c r="B224" t="s">
        <v>48</v>
      </c>
      <c r="C224" t="s">
        <v>19</v>
      </c>
      <c r="D224" t="s">
        <v>20</v>
      </c>
      <c r="F224">
        <v>0</v>
      </c>
      <c r="G224">
        <v>700</v>
      </c>
      <c r="H224">
        <v>0</v>
      </c>
    </row>
    <row r="225" spans="1:8" x14ac:dyDescent="0.25">
      <c r="A225">
        <v>224</v>
      </c>
      <c r="B225" t="s">
        <v>22</v>
      </c>
      <c r="C225" t="s">
        <v>23</v>
      </c>
      <c r="D225" t="s">
        <v>12</v>
      </c>
      <c r="F225">
        <v>-3</v>
      </c>
      <c r="G225">
        <v>50</v>
      </c>
      <c r="H225">
        <v>-96</v>
      </c>
    </row>
    <row r="226" spans="1:8" x14ac:dyDescent="0.25">
      <c r="A226">
        <v>225</v>
      </c>
      <c r="B226" t="s">
        <v>168</v>
      </c>
      <c r="D226" t="s">
        <v>26</v>
      </c>
      <c r="F226">
        <v>0</v>
      </c>
      <c r="G226">
        <v>700</v>
      </c>
      <c r="H226">
        <v>0</v>
      </c>
    </row>
    <row r="227" spans="1:8" x14ac:dyDescent="0.25">
      <c r="A227">
        <v>226</v>
      </c>
      <c r="B227" t="s">
        <v>169</v>
      </c>
      <c r="C227" t="s">
        <v>23</v>
      </c>
      <c r="D227" t="s">
        <v>20</v>
      </c>
      <c r="F227">
        <v>-3</v>
      </c>
      <c r="G227">
        <v>1500</v>
      </c>
      <c r="H227">
        <v>-4500</v>
      </c>
    </row>
    <row r="228" spans="1:8" x14ac:dyDescent="0.25">
      <c r="A228">
        <v>227</v>
      </c>
      <c r="B228" t="s">
        <v>170</v>
      </c>
      <c r="C228" t="s">
        <v>15</v>
      </c>
      <c r="D228" t="s">
        <v>16</v>
      </c>
      <c r="E228" t="s">
        <v>28</v>
      </c>
      <c r="F228">
        <v>4</v>
      </c>
      <c r="G228">
        <v>700</v>
      </c>
      <c r="H228">
        <v>2800</v>
      </c>
    </row>
    <row r="229" spans="1:8" x14ac:dyDescent="0.25">
      <c r="A229">
        <v>228</v>
      </c>
      <c r="B229" t="s">
        <v>111</v>
      </c>
      <c r="D229" t="s">
        <v>10</v>
      </c>
      <c r="E229" t="s">
        <v>13</v>
      </c>
      <c r="F229">
        <v>-3</v>
      </c>
      <c r="G229">
        <v>50</v>
      </c>
      <c r="H229">
        <v>-150</v>
      </c>
    </row>
    <row r="230" spans="1:8" x14ac:dyDescent="0.25">
      <c r="A230">
        <v>229</v>
      </c>
      <c r="B230" t="s">
        <v>171</v>
      </c>
      <c r="C230" t="s">
        <v>19</v>
      </c>
      <c r="D230" t="s">
        <v>26</v>
      </c>
      <c r="E230" t="s">
        <v>21</v>
      </c>
      <c r="F230">
        <v>5</v>
      </c>
      <c r="G230">
        <v>1500</v>
      </c>
      <c r="H230">
        <v>7500</v>
      </c>
    </row>
    <row r="231" spans="1:8" x14ac:dyDescent="0.25">
      <c r="A231">
        <v>230</v>
      </c>
      <c r="B231" t="s">
        <v>64</v>
      </c>
      <c r="C231" t="s">
        <v>23</v>
      </c>
      <c r="D231" t="s">
        <v>16</v>
      </c>
      <c r="E231" t="s">
        <v>21</v>
      </c>
      <c r="F231">
        <v>0</v>
      </c>
      <c r="G231">
        <v>700</v>
      </c>
      <c r="H231">
        <v>0</v>
      </c>
    </row>
    <row r="232" spans="1:8" x14ac:dyDescent="0.25">
      <c r="A232">
        <v>231</v>
      </c>
      <c r="B232" t="s">
        <v>172</v>
      </c>
      <c r="C232" t="s">
        <v>23</v>
      </c>
      <c r="D232" t="s">
        <v>10</v>
      </c>
      <c r="E232" t="s">
        <v>21</v>
      </c>
      <c r="F232">
        <v>-3</v>
      </c>
      <c r="G232">
        <v>700</v>
      </c>
      <c r="H232">
        <v>-2100</v>
      </c>
    </row>
    <row r="233" spans="1:8" x14ac:dyDescent="0.25">
      <c r="A233">
        <v>232</v>
      </c>
      <c r="B233" t="s">
        <v>131</v>
      </c>
      <c r="C233" t="s">
        <v>15</v>
      </c>
      <c r="D233" t="s">
        <v>10</v>
      </c>
      <c r="E233" t="s">
        <v>17</v>
      </c>
      <c r="F233">
        <v>0</v>
      </c>
      <c r="G233">
        <v>50</v>
      </c>
      <c r="H233">
        <v>0</v>
      </c>
    </row>
    <row r="234" spans="1:8" x14ac:dyDescent="0.25">
      <c r="A234">
        <v>233</v>
      </c>
      <c r="B234" t="s">
        <v>173</v>
      </c>
      <c r="C234" t="s">
        <v>23</v>
      </c>
      <c r="D234" t="s">
        <v>20</v>
      </c>
      <c r="F234">
        <v>0</v>
      </c>
      <c r="G234">
        <v>80</v>
      </c>
      <c r="H234">
        <v>0</v>
      </c>
    </row>
    <row r="235" spans="1:8" x14ac:dyDescent="0.25">
      <c r="A235">
        <v>234</v>
      </c>
      <c r="B235" t="s">
        <v>174</v>
      </c>
      <c r="C235" t="s">
        <v>9</v>
      </c>
      <c r="D235" t="s">
        <v>20</v>
      </c>
      <c r="E235" t="s">
        <v>17</v>
      </c>
      <c r="F235">
        <v>-2</v>
      </c>
      <c r="G235">
        <v>80</v>
      </c>
      <c r="H235">
        <v>-135</v>
      </c>
    </row>
    <row r="236" spans="1:8" x14ac:dyDescent="0.25">
      <c r="A236">
        <v>235</v>
      </c>
      <c r="B236" t="s">
        <v>167</v>
      </c>
      <c r="C236" t="s">
        <v>15</v>
      </c>
      <c r="D236" t="s">
        <v>16</v>
      </c>
      <c r="E236" t="s">
        <v>17</v>
      </c>
      <c r="F236">
        <v>5</v>
      </c>
      <c r="G236">
        <v>700</v>
      </c>
      <c r="H236">
        <v>3500</v>
      </c>
    </row>
    <row r="237" spans="1:8" x14ac:dyDescent="0.25">
      <c r="A237">
        <v>236</v>
      </c>
      <c r="B237" t="s">
        <v>27</v>
      </c>
      <c r="C237" t="s">
        <v>23</v>
      </c>
      <c r="D237" t="s">
        <v>20</v>
      </c>
      <c r="E237" t="s">
        <v>28</v>
      </c>
      <c r="F237">
        <v>4</v>
      </c>
      <c r="G237">
        <v>700</v>
      </c>
      <c r="H237">
        <v>2854</v>
      </c>
    </row>
    <row r="238" spans="1:8" x14ac:dyDescent="0.25">
      <c r="A238">
        <v>237</v>
      </c>
      <c r="B238" t="s">
        <v>67</v>
      </c>
      <c r="C238" t="s">
        <v>23</v>
      </c>
      <c r="D238" t="s">
        <v>26</v>
      </c>
      <c r="E238" t="s">
        <v>17</v>
      </c>
      <c r="F238">
        <v>4</v>
      </c>
      <c r="G238">
        <v>1500</v>
      </c>
      <c r="H238">
        <v>6000</v>
      </c>
    </row>
    <row r="239" spans="1:8" x14ac:dyDescent="0.25">
      <c r="A239">
        <v>238</v>
      </c>
      <c r="B239" t="s">
        <v>59</v>
      </c>
      <c r="C239" t="s">
        <v>15</v>
      </c>
      <c r="D239" t="s">
        <v>16</v>
      </c>
      <c r="E239" t="s">
        <v>13</v>
      </c>
      <c r="F239">
        <v>2</v>
      </c>
      <c r="G239">
        <v>1500</v>
      </c>
      <c r="H239">
        <v>3000</v>
      </c>
    </row>
    <row r="240" spans="1:8" x14ac:dyDescent="0.25">
      <c r="A240">
        <v>239</v>
      </c>
      <c r="B240" t="s">
        <v>152</v>
      </c>
      <c r="C240" t="s">
        <v>15</v>
      </c>
      <c r="D240" t="s">
        <v>10</v>
      </c>
      <c r="F240">
        <v>1</v>
      </c>
      <c r="G240">
        <v>1500</v>
      </c>
      <c r="H240">
        <v>1500</v>
      </c>
    </row>
    <row r="241" spans="1:8" x14ac:dyDescent="0.25">
      <c r="A241">
        <v>240</v>
      </c>
      <c r="B241" t="s">
        <v>47</v>
      </c>
      <c r="C241" t="s">
        <v>19</v>
      </c>
      <c r="D241" t="s">
        <v>10</v>
      </c>
      <c r="E241" t="s">
        <v>28</v>
      </c>
      <c r="F241">
        <v>0</v>
      </c>
      <c r="G241">
        <v>80</v>
      </c>
      <c r="H241">
        <v>0</v>
      </c>
    </row>
    <row r="242" spans="1:8" x14ac:dyDescent="0.25">
      <c r="A242">
        <v>241</v>
      </c>
      <c r="B242" t="s">
        <v>175</v>
      </c>
      <c r="C242" t="s">
        <v>15</v>
      </c>
      <c r="D242" t="s">
        <v>26</v>
      </c>
      <c r="E242" t="s">
        <v>17</v>
      </c>
      <c r="F242">
        <v>-1</v>
      </c>
      <c r="G242">
        <v>1500</v>
      </c>
      <c r="H242">
        <v>-1500</v>
      </c>
    </row>
    <row r="243" spans="1:8" x14ac:dyDescent="0.25">
      <c r="A243">
        <v>242</v>
      </c>
      <c r="B243" t="s">
        <v>176</v>
      </c>
      <c r="C243" t="s">
        <v>23</v>
      </c>
      <c r="D243" t="s">
        <v>12</v>
      </c>
      <c r="F243">
        <v>-2</v>
      </c>
      <c r="G243">
        <v>1500</v>
      </c>
      <c r="H243">
        <v>-3000</v>
      </c>
    </row>
    <row r="244" spans="1:8" x14ac:dyDescent="0.25">
      <c r="A244">
        <v>243</v>
      </c>
      <c r="B244" t="s">
        <v>177</v>
      </c>
      <c r="D244" t="s">
        <v>26</v>
      </c>
      <c r="E244" t="s">
        <v>17</v>
      </c>
      <c r="F244">
        <v>0</v>
      </c>
      <c r="G244">
        <v>80</v>
      </c>
      <c r="H244">
        <v>0</v>
      </c>
    </row>
    <row r="245" spans="1:8" x14ac:dyDescent="0.25">
      <c r="A245">
        <v>244</v>
      </c>
      <c r="B245" t="s">
        <v>58</v>
      </c>
      <c r="C245" t="s">
        <v>23</v>
      </c>
      <c r="D245" t="s">
        <v>10</v>
      </c>
      <c r="E245" t="s">
        <v>13</v>
      </c>
      <c r="F245">
        <v>0</v>
      </c>
      <c r="G245">
        <v>1500</v>
      </c>
      <c r="H245">
        <v>98</v>
      </c>
    </row>
    <row r="246" spans="1:8" x14ac:dyDescent="0.25">
      <c r="A246">
        <v>245</v>
      </c>
      <c r="B246" t="s">
        <v>68</v>
      </c>
      <c r="C246" t="s">
        <v>19</v>
      </c>
      <c r="D246" t="s">
        <v>26</v>
      </c>
      <c r="E246" t="s">
        <v>13</v>
      </c>
      <c r="F246">
        <v>3</v>
      </c>
      <c r="G246">
        <v>1500</v>
      </c>
      <c r="H246">
        <v>4500</v>
      </c>
    </row>
    <row r="247" spans="1:8" x14ac:dyDescent="0.25">
      <c r="A247">
        <v>246</v>
      </c>
      <c r="B247" t="s">
        <v>140</v>
      </c>
      <c r="C247" t="s">
        <v>23</v>
      </c>
      <c r="D247" t="s">
        <v>12</v>
      </c>
      <c r="E247" t="s">
        <v>17</v>
      </c>
      <c r="F247">
        <v>0</v>
      </c>
      <c r="G247">
        <v>1500</v>
      </c>
      <c r="H247">
        <v>0</v>
      </c>
    </row>
    <row r="248" spans="1:8" x14ac:dyDescent="0.25">
      <c r="A248">
        <v>247</v>
      </c>
      <c r="B248" t="s">
        <v>178</v>
      </c>
      <c r="C248" t="s">
        <v>9</v>
      </c>
      <c r="D248" t="s">
        <v>20</v>
      </c>
      <c r="E248" t="s">
        <v>21</v>
      </c>
      <c r="F248">
        <v>3</v>
      </c>
      <c r="G248">
        <v>1500</v>
      </c>
      <c r="H248">
        <v>4500</v>
      </c>
    </row>
    <row r="249" spans="1:8" x14ac:dyDescent="0.25">
      <c r="A249">
        <v>248</v>
      </c>
      <c r="B249" t="s">
        <v>49</v>
      </c>
      <c r="C249" t="s">
        <v>15</v>
      </c>
      <c r="D249" t="s">
        <v>16</v>
      </c>
      <c r="E249" t="s">
        <v>28</v>
      </c>
      <c r="F249">
        <v>-1</v>
      </c>
      <c r="G249">
        <v>700</v>
      </c>
      <c r="H249">
        <v>-700</v>
      </c>
    </row>
    <row r="250" spans="1:8" x14ac:dyDescent="0.25">
      <c r="A250">
        <v>249</v>
      </c>
      <c r="B250" t="s">
        <v>168</v>
      </c>
      <c r="D250" t="s">
        <v>10</v>
      </c>
      <c r="E250" t="s">
        <v>28</v>
      </c>
      <c r="F250">
        <v>0</v>
      </c>
      <c r="G250">
        <v>700</v>
      </c>
      <c r="H250">
        <v>0</v>
      </c>
    </row>
    <row r="251" spans="1:8" x14ac:dyDescent="0.25">
      <c r="A251">
        <v>250</v>
      </c>
      <c r="B251" t="s">
        <v>31</v>
      </c>
      <c r="C251" t="s">
        <v>19</v>
      </c>
      <c r="D251" t="s">
        <v>20</v>
      </c>
      <c r="E251" t="s">
        <v>17</v>
      </c>
      <c r="F251">
        <v>5</v>
      </c>
      <c r="G251">
        <v>700</v>
      </c>
      <c r="H251">
        <v>3589</v>
      </c>
    </row>
    <row r="252" spans="1:8" x14ac:dyDescent="0.25">
      <c r="A252">
        <v>251</v>
      </c>
      <c r="B252" t="s">
        <v>179</v>
      </c>
      <c r="C252" t="s">
        <v>15</v>
      </c>
      <c r="D252" t="s">
        <v>26</v>
      </c>
      <c r="E252" t="s">
        <v>13</v>
      </c>
      <c r="F252">
        <v>3</v>
      </c>
      <c r="G252">
        <v>50</v>
      </c>
      <c r="H252">
        <v>150</v>
      </c>
    </row>
    <row r="253" spans="1:8" x14ac:dyDescent="0.25">
      <c r="A253">
        <v>252</v>
      </c>
      <c r="B253" t="s">
        <v>154</v>
      </c>
      <c r="C253" t="s">
        <v>9</v>
      </c>
      <c r="D253" t="s">
        <v>20</v>
      </c>
      <c r="E253" t="s">
        <v>17</v>
      </c>
      <c r="F253">
        <v>0</v>
      </c>
      <c r="G253">
        <v>80</v>
      </c>
      <c r="H253">
        <v>0</v>
      </c>
    </row>
    <row r="254" spans="1:8" x14ac:dyDescent="0.25">
      <c r="A254">
        <v>253</v>
      </c>
      <c r="B254" t="s">
        <v>180</v>
      </c>
      <c r="C254" t="s">
        <v>19</v>
      </c>
      <c r="D254" t="s">
        <v>10</v>
      </c>
      <c r="E254" t="s">
        <v>28</v>
      </c>
      <c r="F254">
        <v>0</v>
      </c>
      <c r="G254">
        <v>80</v>
      </c>
      <c r="H254">
        <v>0</v>
      </c>
    </row>
    <row r="255" spans="1:8" x14ac:dyDescent="0.25">
      <c r="A255">
        <v>254</v>
      </c>
      <c r="B255" t="s">
        <v>153</v>
      </c>
      <c r="D255" t="s">
        <v>20</v>
      </c>
      <c r="E255" t="s">
        <v>17</v>
      </c>
      <c r="F255">
        <v>-2</v>
      </c>
      <c r="G255">
        <v>80</v>
      </c>
      <c r="H255">
        <v>-160</v>
      </c>
    </row>
    <row r="256" spans="1:8" x14ac:dyDescent="0.25">
      <c r="A256">
        <v>255</v>
      </c>
      <c r="B256" t="s">
        <v>181</v>
      </c>
      <c r="C256" t="s">
        <v>19</v>
      </c>
      <c r="D256" t="s">
        <v>16</v>
      </c>
      <c r="E256" t="s">
        <v>21</v>
      </c>
      <c r="F256">
        <v>1</v>
      </c>
      <c r="G256">
        <v>700</v>
      </c>
      <c r="H256">
        <v>784</v>
      </c>
    </row>
    <row r="257" spans="1:8" x14ac:dyDescent="0.25">
      <c r="A257">
        <v>256</v>
      </c>
      <c r="B257" t="s">
        <v>182</v>
      </c>
      <c r="C257" t="s">
        <v>19</v>
      </c>
      <c r="D257" t="s">
        <v>16</v>
      </c>
      <c r="E257" t="s">
        <v>13</v>
      </c>
      <c r="F257">
        <v>2</v>
      </c>
      <c r="G257">
        <v>50</v>
      </c>
      <c r="H257">
        <v>100</v>
      </c>
    </row>
    <row r="258" spans="1:8" x14ac:dyDescent="0.25">
      <c r="A258">
        <v>257</v>
      </c>
      <c r="B258" t="s">
        <v>183</v>
      </c>
      <c r="C258" t="s">
        <v>19</v>
      </c>
      <c r="D258" t="s">
        <v>12</v>
      </c>
      <c r="E258" t="s">
        <v>13</v>
      </c>
      <c r="F258">
        <v>-3</v>
      </c>
      <c r="G258">
        <v>50</v>
      </c>
      <c r="H258">
        <v>-98</v>
      </c>
    </row>
    <row r="259" spans="1:8" x14ac:dyDescent="0.25">
      <c r="A259">
        <v>258</v>
      </c>
      <c r="B259" t="s">
        <v>32</v>
      </c>
      <c r="C259" t="s">
        <v>19</v>
      </c>
      <c r="D259" t="s">
        <v>26</v>
      </c>
      <c r="F259">
        <v>0</v>
      </c>
      <c r="G259">
        <v>80</v>
      </c>
      <c r="H259">
        <v>0</v>
      </c>
    </row>
    <row r="260" spans="1:8" x14ac:dyDescent="0.25">
      <c r="A260">
        <v>259</v>
      </c>
      <c r="B260" t="s">
        <v>63</v>
      </c>
      <c r="C260" t="s">
        <v>9</v>
      </c>
      <c r="D260" t="s">
        <v>20</v>
      </c>
      <c r="E260" t="s">
        <v>28</v>
      </c>
      <c r="F260">
        <v>-1</v>
      </c>
      <c r="G260">
        <v>1500</v>
      </c>
      <c r="H260">
        <v>-1500</v>
      </c>
    </row>
    <row r="261" spans="1:8" x14ac:dyDescent="0.25">
      <c r="A261">
        <v>260</v>
      </c>
      <c r="B261" t="s">
        <v>181</v>
      </c>
      <c r="C261" t="s">
        <v>15</v>
      </c>
      <c r="D261" t="s">
        <v>12</v>
      </c>
      <c r="E261" t="s">
        <v>28</v>
      </c>
      <c r="F261">
        <v>5</v>
      </c>
      <c r="G261">
        <v>700</v>
      </c>
      <c r="H261">
        <v>3500</v>
      </c>
    </row>
    <row r="262" spans="1:8" x14ac:dyDescent="0.25">
      <c r="A262">
        <v>261</v>
      </c>
      <c r="B262" t="s">
        <v>148</v>
      </c>
      <c r="C262" t="s">
        <v>19</v>
      </c>
      <c r="D262" t="s">
        <v>12</v>
      </c>
      <c r="E262" t="s">
        <v>13</v>
      </c>
      <c r="F262">
        <v>-3</v>
      </c>
      <c r="G262">
        <v>50</v>
      </c>
      <c r="H262">
        <v>-150</v>
      </c>
    </row>
    <row r="263" spans="1:8" x14ac:dyDescent="0.25">
      <c r="A263">
        <v>262</v>
      </c>
      <c r="B263" t="s">
        <v>167</v>
      </c>
      <c r="C263" t="s">
        <v>9</v>
      </c>
      <c r="D263" t="s">
        <v>20</v>
      </c>
      <c r="E263" t="s">
        <v>21</v>
      </c>
      <c r="F263">
        <v>5</v>
      </c>
      <c r="G263">
        <v>1500</v>
      </c>
      <c r="H263">
        <v>7500</v>
      </c>
    </row>
    <row r="264" spans="1:8" x14ac:dyDescent="0.25">
      <c r="A264">
        <v>263</v>
      </c>
      <c r="B264" t="s">
        <v>111</v>
      </c>
      <c r="D264" t="s">
        <v>20</v>
      </c>
      <c r="E264" t="s">
        <v>21</v>
      </c>
      <c r="F264">
        <v>-3</v>
      </c>
      <c r="G264">
        <v>700</v>
      </c>
      <c r="H264">
        <v>-2100</v>
      </c>
    </row>
    <row r="265" spans="1:8" x14ac:dyDescent="0.25">
      <c r="A265">
        <v>264</v>
      </c>
      <c r="B265" t="s">
        <v>71</v>
      </c>
      <c r="D265" t="s">
        <v>26</v>
      </c>
      <c r="E265" t="s">
        <v>17</v>
      </c>
      <c r="F265">
        <v>5</v>
      </c>
      <c r="G265">
        <v>700</v>
      </c>
      <c r="H265">
        <v>3570</v>
      </c>
    </row>
    <row r="266" spans="1:8" x14ac:dyDescent="0.25">
      <c r="A266">
        <v>265</v>
      </c>
      <c r="B266" t="s">
        <v>126</v>
      </c>
      <c r="C266" t="s">
        <v>9</v>
      </c>
      <c r="D266" t="s">
        <v>12</v>
      </c>
      <c r="E266" t="s">
        <v>28</v>
      </c>
      <c r="F266">
        <v>5</v>
      </c>
      <c r="G266">
        <v>80</v>
      </c>
      <c r="H266">
        <v>400</v>
      </c>
    </row>
    <row r="267" spans="1:8" x14ac:dyDescent="0.25">
      <c r="A267">
        <v>266</v>
      </c>
      <c r="B267" t="s">
        <v>184</v>
      </c>
      <c r="C267" t="s">
        <v>23</v>
      </c>
      <c r="D267" t="s">
        <v>20</v>
      </c>
      <c r="F267">
        <v>3</v>
      </c>
      <c r="G267">
        <v>700</v>
      </c>
      <c r="H267">
        <v>2100</v>
      </c>
    </row>
    <row r="268" spans="1:8" x14ac:dyDescent="0.25">
      <c r="A268">
        <v>267</v>
      </c>
      <c r="B268" t="s">
        <v>185</v>
      </c>
      <c r="C268" t="s">
        <v>19</v>
      </c>
      <c r="D268" t="s">
        <v>16</v>
      </c>
      <c r="E268" t="s">
        <v>17</v>
      </c>
      <c r="F268">
        <v>-3</v>
      </c>
      <c r="G268">
        <v>50</v>
      </c>
      <c r="H268">
        <v>-150</v>
      </c>
    </row>
    <row r="269" spans="1:8" x14ac:dyDescent="0.25">
      <c r="A269">
        <v>268</v>
      </c>
      <c r="B269" t="s">
        <v>85</v>
      </c>
      <c r="C269" t="s">
        <v>15</v>
      </c>
      <c r="D269" t="s">
        <v>20</v>
      </c>
      <c r="E269" t="s">
        <v>21</v>
      </c>
      <c r="F269">
        <v>-2</v>
      </c>
      <c r="G269">
        <v>80</v>
      </c>
      <c r="H269">
        <v>-160</v>
      </c>
    </row>
    <row r="270" spans="1:8" x14ac:dyDescent="0.25">
      <c r="A270">
        <v>269</v>
      </c>
      <c r="B270" t="s">
        <v>186</v>
      </c>
      <c r="C270" t="s">
        <v>9</v>
      </c>
      <c r="D270" t="s">
        <v>12</v>
      </c>
      <c r="E270" t="s">
        <v>21</v>
      </c>
      <c r="F270">
        <v>0</v>
      </c>
      <c r="G270">
        <v>700</v>
      </c>
      <c r="H270">
        <v>76</v>
      </c>
    </row>
    <row r="271" spans="1:8" x14ac:dyDescent="0.25">
      <c r="A271">
        <v>270</v>
      </c>
      <c r="B271" t="s">
        <v>187</v>
      </c>
      <c r="C271" t="s">
        <v>9</v>
      </c>
      <c r="D271" t="s">
        <v>16</v>
      </c>
      <c r="E271" t="s">
        <v>28</v>
      </c>
      <c r="F271">
        <v>-2</v>
      </c>
      <c r="G271">
        <v>80</v>
      </c>
      <c r="H271">
        <v>-146</v>
      </c>
    </row>
    <row r="272" spans="1:8" x14ac:dyDescent="0.25">
      <c r="A272">
        <v>271</v>
      </c>
      <c r="B272" t="s">
        <v>161</v>
      </c>
      <c r="D272" t="s">
        <v>20</v>
      </c>
      <c r="E272" t="s">
        <v>28</v>
      </c>
      <c r="F272">
        <v>0</v>
      </c>
      <c r="G272">
        <v>50</v>
      </c>
      <c r="H272">
        <v>0</v>
      </c>
    </row>
    <row r="273" spans="1:8" x14ac:dyDescent="0.25">
      <c r="A273">
        <v>272</v>
      </c>
      <c r="B273" t="s">
        <v>188</v>
      </c>
      <c r="C273" t="s">
        <v>23</v>
      </c>
      <c r="D273" t="s">
        <v>12</v>
      </c>
      <c r="E273" t="s">
        <v>21</v>
      </c>
      <c r="F273">
        <v>0</v>
      </c>
      <c r="G273">
        <v>1500</v>
      </c>
      <c r="H273">
        <v>0</v>
      </c>
    </row>
    <row r="274" spans="1:8" x14ac:dyDescent="0.25">
      <c r="A274">
        <v>273</v>
      </c>
      <c r="B274" t="s">
        <v>189</v>
      </c>
      <c r="C274" t="s">
        <v>23</v>
      </c>
      <c r="D274" t="s">
        <v>26</v>
      </c>
      <c r="E274" t="s">
        <v>28</v>
      </c>
      <c r="F274">
        <v>0</v>
      </c>
      <c r="G274">
        <v>80</v>
      </c>
      <c r="H274">
        <v>0</v>
      </c>
    </row>
    <row r="275" spans="1:8" x14ac:dyDescent="0.25">
      <c r="A275">
        <v>274</v>
      </c>
      <c r="B275" t="s">
        <v>116</v>
      </c>
      <c r="D275" t="s">
        <v>16</v>
      </c>
      <c r="E275" t="s">
        <v>17</v>
      </c>
      <c r="F275">
        <v>3</v>
      </c>
      <c r="G275">
        <v>1500</v>
      </c>
      <c r="H275">
        <v>4559</v>
      </c>
    </row>
    <row r="276" spans="1:8" x14ac:dyDescent="0.25">
      <c r="A276">
        <v>275</v>
      </c>
      <c r="B276" t="s">
        <v>190</v>
      </c>
      <c r="D276" t="s">
        <v>20</v>
      </c>
      <c r="E276" t="s">
        <v>17</v>
      </c>
      <c r="F276">
        <v>3</v>
      </c>
      <c r="G276">
        <v>80</v>
      </c>
      <c r="H276">
        <v>240</v>
      </c>
    </row>
    <row r="277" spans="1:8" x14ac:dyDescent="0.25">
      <c r="A277">
        <v>276</v>
      </c>
      <c r="B277" t="s">
        <v>191</v>
      </c>
      <c r="C277" t="s">
        <v>19</v>
      </c>
      <c r="D277" t="s">
        <v>26</v>
      </c>
      <c r="F277">
        <v>-2</v>
      </c>
      <c r="G277">
        <v>80</v>
      </c>
      <c r="H277">
        <v>-110</v>
      </c>
    </row>
    <row r="278" spans="1:8" x14ac:dyDescent="0.25">
      <c r="A278">
        <v>277</v>
      </c>
      <c r="B278" t="s">
        <v>192</v>
      </c>
      <c r="C278" t="s">
        <v>19</v>
      </c>
      <c r="D278" t="s">
        <v>12</v>
      </c>
      <c r="E278" t="s">
        <v>13</v>
      </c>
      <c r="F278">
        <v>5</v>
      </c>
      <c r="G278">
        <v>50</v>
      </c>
      <c r="H278">
        <v>250</v>
      </c>
    </row>
    <row r="279" spans="1:8" x14ac:dyDescent="0.25">
      <c r="A279">
        <v>278</v>
      </c>
      <c r="B279" t="s">
        <v>193</v>
      </c>
      <c r="C279" t="s">
        <v>23</v>
      </c>
      <c r="D279" t="s">
        <v>12</v>
      </c>
      <c r="F279">
        <v>0</v>
      </c>
      <c r="G279">
        <v>1500</v>
      </c>
      <c r="H279">
        <v>0</v>
      </c>
    </row>
    <row r="280" spans="1:8" x14ac:dyDescent="0.25">
      <c r="A280">
        <v>279</v>
      </c>
      <c r="B280" t="s">
        <v>194</v>
      </c>
      <c r="C280" t="s">
        <v>9</v>
      </c>
      <c r="D280" t="s">
        <v>16</v>
      </c>
      <c r="F280">
        <v>0</v>
      </c>
      <c r="G280">
        <v>1500</v>
      </c>
      <c r="H280">
        <v>0</v>
      </c>
    </row>
    <row r="281" spans="1:8" x14ac:dyDescent="0.25">
      <c r="A281">
        <v>280</v>
      </c>
      <c r="B281" t="s">
        <v>127</v>
      </c>
      <c r="C281" t="s">
        <v>23</v>
      </c>
      <c r="D281" t="s">
        <v>10</v>
      </c>
      <c r="E281" t="s">
        <v>28</v>
      </c>
      <c r="F281">
        <v>0</v>
      </c>
      <c r="G281">
        <v>700</v>
      </c>
      <c r="H281">
        <v>0</v>
      </c>
    </row>
    <row r="282" spans="1:8" x14ac:dyDescent="0.25">
      <c r="A282">
        <v>281</v>
      </c>
      <c r="B282" t="s">
        <v>195</v>
      </c>
      <c r="C282" t="s">
        <v>9</v>
      </c>
      <c r="D282" t="s">
        <v>20</v>
      </c>
      <c r="F282">
        <v>-3</v>
      </c>
      <c r="G282">
        <v>80</v>
      </c>
      <c r="H282">
        <v>-240</v>
      </c>
    </row>
    <row r="283" spans="1:8" x14ac:dyDescent="0.25">
      <c r="A283">
        <v>282</v>
      </c>
      <c r="B283" t="s">
        <v>103</v>
      </c>
      <c r="C283" t="s">
        <v>23</v>
      </c>
      <c r="D283" t="s">
        <v>20</v>
      </c>
      <c r="E283" t="s">
        <v>17</v>
      </c>
      <c r="F283">
        <v>0</v>
      </c>
      <c r="G283">
        <v>1500</v>
      </c>
      <c r="H283">
        <v>0</v>
      </c>
    </row>
    <row r="284" spans="1:8" x14ac:dyDescent="0.25">
      <c r="A284">
        <v>283</v>
      </c>
      <c r="B284" t="s">
        <v>100</v>
      </c>
      <c r="C284" t="s">
        <v>15</v>
      </c>
      <c r="D284" t="s">
        <v>16</v>
      </c>
      <c r="E284" t="s">
        <v>21</v>
      </c>
      <c r="F284">
        <v>5</v>
      </c>
      <c r="G284">
        <v>1500</v>
      </c>
      <c r="H284">
        <v>7500</v>
      </c>
    </row>
    <row r="285" spans="1:8" x14ac:dyDescent="0.25">
      <c r="A285">
        <v>284</v>
      </c>
      <c r="B285" t="s">
        <v>74</v>
      </c>
      <c r="D285" t="s">
        <v>16</v>
      </c>
      <c r="E285" t="s">
        <v>13</v>
      </c>
      <c r="F285">
        <v>1</v>
      </c>
      <c r="G285">
        <v>1500</v>
      </c>
      <c r="H285">
        <v>1500</v>
      </c>
    </row>
    <row r="286" spans="1:8" x14ac:dyDescent="0.25">
      <c r="A286">
        <v>285</v>
      </c>
      <c r="B286" t="s">
        <v>196</v>
      </c>
      <c r="D286" t="s">
        <v>20</v>
      </c>
      <c r="E286" t="s">
        <v>13</v>
      </c>
      <c r="F286">
        <v>4</v>
      </c>
      <c r="G286">
        <v>50</v>
      </c>
      <c r="H286">
        <v>200</v>
      </c>
    </row>
    <row r="287" spans="1:8" x14ac:dyDescent="0.25">
      <c r="A287">
        <v>286</v>
      </c>
      <c r="B287" t="s">
        <v>53</v>
      </c>
      <c r="C287" t="s">
        <v>19</v>
      </c>
      <c r="D287" t="s">
        <v>12</v>
      </c>
      <c r="E287" t="s">
        <v>28</v>
      </c>
      <c r="F287">
        <v>2</v>
      </c>
      <c r="G287">
        <v>50</v>
      </c>
      <c r="H287">
        <v>100</v>
      </c>
    </row>
    <row r="288" spans="1:8" x14ac:dyDescent="0.25">
      <c r="A288">
        <v>287</v>
      </c>
      <c r="B288" t="s">
        <v>40</v>
      </c>
      <c r="C288" t="s">
        <v>9</v>
      </c>
      <c r="D288" t="s">
        <v>12</v>
      </c>
      <c r="E288" t="s">
        <v>21</v>
      </c>
      <c r="F288">
        <v>0</v>
      </c>
      <c r="G288">
        <v>1500</v>
      </c>
      <c r="H288">
        <v>0</v>
      </c>
    </row>
    <row r="289" spans="1:8" x14ac:dyDescent="0.25">
      <c r="A289">
        <v>288</v>
      </c>
      <c r="B289" t="s">
        <v>36</v>
      </c>
      <c r="C289" t="s">
        <v>15</v>
      </c>
      <c r="D289" t="s">
        <v>10</v>
      </c>
      <c r="F289">
        <v>0</v>
      </c>
      <c r="G289">
        <v>80</v>
      </c>
      <c r="H289">
        <v>0</v>
      </c>
    </row>
    <row r="290" spans="1:8" x14ac:dyDescent="0.25">
      <c r="A290">
        <v>289</v>
      </c>
      <c r="B290" t="s">
        <v>181</v>
      </c>
      <c r="C290" t="s">
        <v>15</v>
      </c>
      <c r="D290" t="s">
        <v>10</v>
      </c>
      <c r="F290">
        <v>2</v>
      </c>
      <c r="G290">
        <v>50</v>
      </c>
      <c r="H290">
        <v>100</v>
      </c>
    </row>
    <row r="291" spans="1:8" x14ac:dyDescent="0.25">
      <c r="A291">
        <v>290</v>
      </c>
      <c r="B291" t="s">
        <v>106</v>
      </c>
      <c r="D291" t="s">
        <v>12</v>
      </c>
      <c r="E291" t="s">
        <v>28</v>
      </c>
      <c r="F291">
        <v>-2</v>
      </c>
      <c r="G291">
        <v>1500</v>
      </c>
      <c r="H291">
        <v>-3000</v>
      </c>
    </row>
    <row r="292" spans="1:8" x14ac:dyDescent="0.25">
      <c r="A292">
        <v>291</v>
      </c>
      <c r="B292" t="s">
        <v>197</v>
      </c>
      <c r="C292" t="s">
        <v>9</v>
      </c>
      <c r="D292" t="s">
        <v>26</v>
      </c>
      <c r="F292">
        <v>-1</v>
      </c>
      <c r="G292">
        <v>700</v>
      </c>
      <c r="H292">
        <v>-700</v>
      </c>
    </row>
    <row r="293" spans="1:8" x14ac:dyDescent="0.25">
      <c r="A293">
        <v>292</v>
      </c>
      <c r="B293" t="s">
        <v>85</v>
      </c>
      <c r="C293" t="s">
        <v>9</v>
      </c>
      <c r="D293" t="s">
        <v>10</v>
      </c>
      <c r="E293" t="s">
        <v>13</v>
      </c>
      <c r="F293">
        <v>-3</v>
      </c>
      <c r="G293">
        <v>50</v>
      </c>
      <c r="H293">
        <v>-150</v>
      </c>
    </row>
    <row r="294" spans="1:8" x14ac:dyDescent="0.25">
      <c r="A294">
        <v>293</v>
      </c>
      <c r="B294" t="s">
        <v>91</v>
      </c>
      <c r="C294" t="s">
        <v>9</v>
      </c>
      <c r="D294" t="s">
        <v>16</v>
      </c>
      <c r="E294" t="s">
        <v>21</v>
      </c>
      <c r="F294">
        <v>5</v>
      </c>
      <c r="G294">
        <v>50</v>
      </c>
      <c r="H294">
        <v>250</v>
      </c>
    </row>
    <row r="295" spans="1:8" x14ac:dyDescent="0.25">
      <c r="A295">
        <v>294</v>
      </c>
      <c r="B295" t="s">
        <v>198</v>
      </c>
      <c r="C295" t="s">
        <v>19</v>
      </c>
      <c r="D295" t="s">
        <v>12</v>
      </c>
      <c r="E295" t="s">
        <v>13</v>
      </c>
      <c r="F295">
        <v>4</v>
      </c>
      <c r="G295">
        <v>50</v>
      </c>
      <c r="H295">
        <v>200</v>
      </c>
    </row>
    <row r="296" spans="1:8" x14ac:dyDescent="0.25">
      <c r="A296">
        <v>295</v>
      </c>
      <c r="B296" t="s">
        <v>11</v>
      </c>
      <c r="C296" t="s">
        <v>23</v>
      </c>
      <c r="D296" t="s">
        <v>10</v>
      </c>
      <c r="F296">
        <v>-2</v>
      </c>
      <c r="G296">
        <v>700</v>
      </c>
      <c r="H296">
        <v>-1346</v>
      </c>
    </row>
    <row r="297" spans="1:8" x14ac:dyDescent="0.25">
      <c r="A297">
        <v>296</v>
      </c>
      <c r="B297" t="s">
        <v>43</v>
      </c>
      <c r="C297" t="s">
        <v>9</v>
      </c>
      <c r="D297" t="s">
        <v>20</v>
      </c>
      <c r="E297" t="s">
        <v>21</v>
      </c>
      <c r="F297">
        <v>5</v>
      </c>
      <c r="G297">
        <v>700</v>
      </c>
      <c r="H297">
        <v>3500</v>
      </c>
    </row>
    <row r="298" spans="1:8" x14ac:dyDescent="0.25">
      <c r="A298">
        <v>297</v>
      </c>
      <c r="B298" t="s">
        <v>57</v>
      </c>
      <c r="C298" t="s">
        <v>19</v>
      </c>
      <c r="D298" t="s">
        <v>16</v>
      </c>
      <c r="E298" t="s">
        <v>28</v>
      </c>
      <c r="F298">
        <v>0</v>
      </c>
      <c r="G298">
        <v>80</v>
      </c>
      <c r="H298">
        <v>0</v>
      </c>
    </row>
    <row r="299" spans="1:8" x14ac:dyDescent="0.25">
      <c r="A299">
        <v>298</v>
      </c>
      <c r="B299" t="s">
        <v>36</v>
      </c>
      <c r="C299" t="s">
        <v>15</v>
      </c>
      <c r="D299" t="s">
        <v>12</v>
      </c>
      <c r="E299" t="s">
        <v>13</v>
      </c>
      <c r="F299">
        <v>5</v>
      </c>
      <c r="G299">
        <v>1500</v>
      </c>
      <c r="H299">
        <v>7500</v>
      </c>
    </row>
    <row r="300" spans="1:8" x14ac:dyDescent="0.25">
      <c r="A300">
        <v>299</v>
      </c>
      <c r="B300" t="s">
        <v>61</v>
      </c>
      <c r="D300" t="s">
        <v>10</v>
      </c>
      <c r="E300" t="s">
        <v>17</v>
      </c>
      <c r="F300">
        <v>0</v>
      </c>
      <c r="G300">
        <v>50</v>
      </c>
      <c r="H300">
        <v>0</v>
      </c>
    </row>
    <row r="301" spans="1:8" x14ac:dyDescent="0.25">
      <c r="A301">
        <v>300</v>
      </c>
      <c r="B301" t="s">
        <v>199</v>
      </c>
      <c r="C301" t="s">
        <v>15</v>
      </c>
      <c r="D301" t="s">
        <v>20</v>
      </c>
      <c r="E301" t="s">
        <v>13</v>
      </c>
      <c r="F301">
        <v>3</v>
      </c>
      <c r="G301">
        <v>80</v>
      </c>
      <c r="H301">
        <v>240</v>
      </c>
    </row>
  </sheetData>
  <conditionalFormatting sqref="F2:F301">
    <cfRule type="expression" dxfId="2" priority="1">
      <formula>F2&lt;=0</formula>
    </cfRule>
  </conditionalFormatting>
  <conditionalFormatting sqref="H2:H301">
    <cfRule type="expression" dxfId="1" priority="2">
      <formula>H2&lt;&gt;(F2*G2)</formula>
    </cfRule>
  </conditionalFormatting>
  <conditionalFormatting sqref="C2:C301">
    <cfRule type="expression" dxfId="0" priority="3">
      <formula>C2=""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301"/>
  <sheetViews>
    <sheetView tabSelected="1" topLeftCell="C1" workbookViewId="0">
      <selection activeCell="J27" sqref="J27"/>
    </sheetView>
  </sheetViews>
  <sheetFormatPr baseColWidth="10" defaultColWidth="9.140625" defaultRowHeight="15" x14ac:dyDescent="0.25"/>
  <cols>
    <col min="2" max="2" width="18.42578125" style="5" bestFit="1" customWidth="1"/>
    <col min="3" max="3" width="14.42578125" bestFit="1" customWidth="1"/>
    <col min="4" max="4" width="14" bestFit="1" customWidth="1"/>
    <col min="5" max="5" width="16.140625" bestFit="1" customWidth="1"/>
    <col min="7" max="7" width="16.140625" bestFit="1" customWidth="1"/>
    <col min="8" max="8" width="17.28515625" bestFit="1" customWidth="1"/>
    <col min="9" max="9" width="14.5703125" bestFit="1" customWidth="1"/>
    <col min="10" max="10" width="45.85546875" style="6" customWidth="1"/>
    <col min="11" max="11" width="13.5703125" customWidth="1"/>
    <col min="12" max="12" width="10.7109375" style="5" bestFit="1" customWidth="1"/>
  </cols>
  <sheetData>
    <row r="1" spans="1:12" x14ac:dyDescent="0.25">
      <c r="A1" s="1" t="s">
        <v>0</v>
      </c>
      <c r="B1" s="4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6</v>
      </c>
      <c r="H1" s="1" t="s">
        <v>205</v>
      </c>
      <c r="I1" s="1" t="s">
        <v>206</v>
      </c>
    </row>
    <row r="2" spans="1:12" hidden="1" x14ac:dyDescent="0.25">
      <c r="A2">
        <f>Dataset_con_Errores!A2</f>
        <v>1</v>
      </c>
      <c r="B2" s="5" t="str">
        <f>TEXT(Dataset_con_Errores!B2,"dd/mm/yyyy")</f>
        <v>05/03/2026</v>
      </c>
      <c r="C2" t="str">
        <f>IF(Dataset_con_Errores!C2="","Sin Cliente",PROPER(TRIM(Dataset_con_Errores!C2)))</f>
        <v>Ana Torres</v>
      </c>
      <c r="D2" t="str">
        <f>PROPER(TRIM(Dataset_con_Errores!D2))</f>
        <v>Medellin</v>
      </c>
      <c r="E2" t="str">
        <f>IF(Dataset_con_Errores!E2="","Sin especificar",Dataset_con_Errores!E2)</f>
        <v>Sin especificar</v>
      </c>
      <c r="F2">
        <f>IF(Dataset_con_Errores!F2&lt;=0,1,Dataset_con_Errores!F2)</f>
        <v>1</v>
      </c>
      <c r="G2">
        <f>Dataset_con_Errores!G2</f>
        <v>1500</v>
      </c>
      <c r="H2">
        <f t="shared" ref="H2:H65" si="0">F2*G2</f>
        <v>1500</v>
      </c>
      <c r="I2" t="str">
        <f>IF(H2=Dataset_con_Errores!H2,"OK","ERROR")</f>
        <v>ERROR</v>
      </c>
      <c r="J2" s="6">
        <f>+COUNTIF(Solucion_Limpia_300!I2:I301,"OK")</f>
        <v>76</v>
      </c>
      <c r="K2" s="3"/>
      <c r="L2" s="5">
        <f>IFERROR(
   DATE(RIGHT(B2,4),MID(B2,4,2),LEFT(B2,2)),
   IFERROR(
      DATE(LEFT(B2,4),MID(B2,6,2),RIGHT(B2,2)),
      IFERROR(
         DATE(
            2000+VALUE(RIGHT(B2,2)),
            MATCH(
               UPPER(MID(B2,4,3)),
               {"JAN";"FEB";"MAR";"APR";"MAY";"JUN";"JUL";"AUG";"SEP";"OCT";"NOV";"DEC"},
               0
            ),
            VALUE(LEFT(B2,2))
         ),
      "ERROR")
   )
)</f>
        <v>46086</v>
      </c>
    </row>
    <row r="3" spans="1:12" hidden="1" x14ac:dyDescent="0.25">
      <c r="A3">
        <f>Dataset_con_Errores!A3</f>
        <v>2</v>
      </c>
      <c r="B3" s="5" t="str">
        <f>TEXT(Dataset_con_Errores!B3,"dd/mm/yyyy")</f>
        <v>20/03/2026</v>
      </c>
      <c r="C3" t="str">
        <f>IF(Dataset_con_Errores!C3="","Sin Cliente",PROPER(TRIM(Dataset_con_Errores!C3)))</f>
        <v>Sin Cliente</v>
      </c>
      <c r="D3" t="str">
        <f>PROPER(TRIM(Dataset_con_Errores!D3))</f>
        <v>Medellín</v>
      </c>
      <c r="E3" t="str">
        <f>IF(Dataset_con_Errores!E3="","Sin especificar",Dataset_con_Errores!E3)</f>
        <v>Laptop</v>
      </c>
      <c r="F3">
        <f>IF(Dataset_con_Errores!F3&lt;=0,1,Dataset_con_Errores!F3)</f>
        <v>1</v>
      </c>
      <c r="G3">
        <f>Dataset_con_Errores!G3</f>
        <v>50</v>
      </c>
      <c r="H3">
        <f t="shared" si="0"/>
        <v>50</v>
      </c>
      <c r="I3" t="str">
        <f>IF(H3=Dataset_con_Errores!H3,"OK","ERROR")</f>
        <v>ERROR</v>
      </c>
      <c r="K3" s="3"/>
      <c r="L3" s="5">
        <f>IFERROR(
   DATE(RIGHT(B3,4),MID(B3,4,2),LEFT(B3,2)),
   IFERROR(
      DATE(LEFT(B3,4),MID(B3,6,2),RIGHT(B3,2)),
      IFERROR(
         DATE(
            2000+VALUE(RIGHT(B3,2)),
            MATCH(
               UPPER(MID(B3,4,3)),
               {"JAN";"FEB";"MAR";"APR";"MAY";"JUN";"JUL";"AUG";"SEP";"OCT";"NOV";"DEC"},
               0
            ),
            VALUE(LEFT(B3,2))
         ),
      "ERROR")
   )
)</f>
        <v>46101</v>
      </c>
    </row>
    <row r="4" spans="1:12" hidden="1" x14ac:dyDescent="0.25">
      <c r="A4">
        <f>Dataset_con_Errores!A4</f>
        <v>3</v>
      </c>
      <c r="B4" s="5" t="str">
        <f>TEXT(Dataset_con_Errores!B4,"dd/mm/yyyy")</f>
        <v>31-Jan-26</v>
      </c>
      <c r="C4" t="str">
        <f>IF(Dataset_con_Errores!C4="","Sin Cliente",PROPER(TRIM(Dataset_con_Errores!C4)))</f>
        <v>Juan Perez</v>
      </c>
      <c r="D4" t="str">
        <f>PROPER(TRIM(Dataset_con_Errores!D4))</f>
        <v>Bogotá</v>
      </c>
      <c r="E4" t="str">
        <f>IF(Dataset_con_Errores!E4="","Sin especificar",Dataset_con_Errores!E4)</f>
        <v>Mouse</v>
      </c>
      <c r="F4">
        <f>IF(Dataset_con_Errores!F4&lt;=0,1,Dataset_con_Errores!F4)</f>
        <v>1</v>
      </c>
      <c r="G4">
        <f>Dataset_con_Errores!G4</f>
        <v>1500</v>
      </c>
      <c r="H4">
        <f t="shared" si="0"/>
        <v>1500</v>
      </c>
      <c r="I4" t="str">
        <f>IF(H4=Dataset_con_Errores!H4,"OK","ERROR")</f>
        <v>ERROR</v>
      </c>
      <c r="K4" s="3"/>
      <c r="L4" s="5">
        <f>IFERROR(
   DATE(RIGHT(B4,4),MID(B4,4,2),LEFT(B4,2)),
   IFERROR(
      DATE(LEFT(B4,4),MID(B4,6,2),RIGHT(B4,2)),
      IFERROR(
         DATE(
            2000+VALUE(RIGHT(B4,2)),
            MATCH(
               UPPER(MID(B4,4,3)),
               {"JAN";"FEB";"MAR";"APR";"MAY";"JUN";"JUL";"AUG";"SEP";"OCT";"NOV";"DEC"},
               0
            ),
            VALUE(LEFT(B4,2))
         ),
      "ERROR")
   )
)</f>
        <v>46053</v>
      </c>
    </row>
    <row r="5" spans="1:12" x14ac:dyDescent="0.25">
      <c r="A5">
        <f>Dataset_con_Errores!A5</f>
        <v>4</v>
      </c>
      <c r="B5" s="5" t="str">
        <f>TEXT(Dataset_con_Errores!B5,"dd/mm/yyyy")</f>
        <v>02/01/2026</v>
      </c>
      <c r="C5" t="str">
        <f>IF(Dataset_con_Errores!C5="","Sin Cliente",PROPER(TRIM(Dataset_con_Errores!C5)))</f>
        <v>Carlos Ruiz</v>
      </c>
      <c r="D5" t="str">
        <f>PROPER(TRIM(Dataset_con_Errores!D5))</f>
        <v>Bogota</v>
      </c>
      <c r="E5" t="str">
        <f>IF(Dataset_con_Errores!E5="","Sin especificar",Dataset_con_Errores!E5)</f>
        <v>Monitor</v>
      </c>
      <c r="F5">
        <f>IF(Dataset_con_Errores!F5&lt;=0,1,Dataset_con_Errores!F5)</f>
        <v>3</v>
      </c>
      <c r="G5">
        <f>Dataset_con_Errores!G5</f>
        <v>1500</v>
      </c>
      <c r="H5">
        <f t="shared" si="0"/>
        <v>4500</v>
      </c>
      <c r="I5" t="str">
        <f>IF(H5=Dataset_con_Errores!H5,"OK","ERROR")</f>
        <v>OK</v>
      </c>
      <c r="K5" s="3"/>
      <c r="L5" s="5">
        <f>IFERROR(
   DATE(RIGHT(B5,4),MID(B5,4,2),LEFT(B5,2)),
   IFERROR(
      DATE(LEFT(B5,4),MID(B5,6,2),RIGHT(B5,2)),
      IFERROR(
         DATE(
            2000+VALUE(RIGHT(B5,2)),
            MATCH(
               UPPER(MID(B5,4,3)),
               {"JAN";"FEB";"MAR";"APR";"MAY";"JUN";"JUL";"AUG";"SEP";"OCT";"NOV";"DEC"},
               0
            ),
            VALUE(LEFT(B5,2))
         ),
      "ERROR")
   )
)</f>
        <v>46024</v>
      </c>
    </row>
    <row r="6" spans="1:12" hidden="1" x14ac:dyDescent="0.25">
      <c r="A6">
        <f>Dataset_con_Errores!A6</f>
        <v>5</v>
      </c>
      <c r="B6" s="5" t="str">
        <f>TEXT(Dataset_con_Errores!B6,"dd/mm/yyyy")</f>
        <v>06/03/2026</v>
      </c>
      <c r="C6" t="str">
        <f>IF(Dataset_con_Errores!C6="","Sin Cliente",PROPER(TRIM(Dataset_con_Errores!C6)))</f>
        <v>Maria Lopez</v>
      </c>
      <c r="D6" t="str">
        <f>PROPER(TRIM(Dataset_con_Errores!D6))</f>
        <v>Medellín</v>
      </c>
      <c r="E6" t="str">
        <f>IF(Dataset_con_Errores!E6="","Sin especificar",Dataset_con_Errores!E6)</f>
        <v>Sin especificar</v>
      </c>
      <c r="F6">
        <f>IF(Dataset_con_Errores!F6&lt;=0,1,Dataset_con_Errores!F6)</f>
        <v>1</v>
      </c>
      <c r="G6">
        <f>Dataset_con_Errores!G6</f>
        <v>50</v>
      </c>
      <c r="H6">
        <f t="shared" si="0"/>
        <v>50</v>
      </c>
      <c r="I6" t="str">
        <f>IF(H6=Dataset_con_Errores!H6,"OK","ERROR")</f>
        <v>ERROR</v>
      </c>
      <c r="K6" s="3"/>
      <c r="L6" s="5">
        <f>IFERROR(
   DATE(RIGHT(B6,4),MID(B6,4,2),LEFT(B6,2)),
   IFERROR(
      DATE(LEFT(B6,4),MID(B6,6,2),RIGHT(B6,2)),
      IFERROR(
         DATE(
            2000+VALUE(RIGHT(B6,2)),
            MATCH(
               UPPER(MID(B6,4,3)),
               {"JAN";"FEB";"MAR";"APR";"MAY";"JUN";"JUL";"AUG";"SEP";"OCT";"NOV";"DEC"},
               0
            ),
            VALUE(LEFT(B6,2))
         ),
      "ERROR")
   )
)</f>
        <v>46087</v>
      </c>
    </row>
    <row r="7" spans="1:12" hidden="1" x14ac:dyDescent="0.25">
      <c r="A7">
        <f>Dataset_con_Errores!A7</f>
        <v>6</v>
      </c>
      <c r="B7" s="5" t="str">
        <f>TEXT(Dataset_con_Errores!B7,"dd/mm/yyyy")</f>
        <v>19/03/2026</v>
      </c>
      <c r="C7" t="str">
        <f>IF(Dataset_con_Errores!C7="","Sin Cliente",PROPER(TRIM(Dataset_con_Errores!C7)))</f>
        <v>Maria Lopez</v>
      </c>
      <c r="D7" t="str">
        <f>PROPER(TRIM(Dataset_con_Errores!D7))</f>
        <v>Medellin</v>
      </c>
      <c r="E7" t="str">
        <f>IF(Dataset_con_Errores!E7="","Sin especificar",Dataset_con_Errores!E7)</f>
        <v>Monitor</v>
      </c>
      <c r="F7">
        <f>IF(Dataset_con_Errores!F7&lt;=0,1,Dataset_con_Errores!F7)</f>
        <v>1</v>
      </c>
      <c r="G7">
        <f>Dataset_con_Errores!G7</f>
        <v>1500</v>
      </c>
      <c r="H7">
        <f t="shared" si="0"/>
        <v>1500</v>
      </c>
      <c r="I7" t="str">
        <f>IF(H7=Dataset_con_Errores!H7,"OK","ERROR")</f>
        <v>ERROR</v>
      </c>
      <c r="K7" s="3"/>
      <c r="L7" s="5">
        <f>IFERROR(
   DATE(RIGHT(B7,4),MID(B7,4,2),LEFT(B7,2)),
   IFERROR(
      DATE(LEFT(B7,4),MID(B7,6,2),RIGHT(B7,2)),
      IFERROR(
         DATE(
            2000+VALUE(RIGHT(B7,2)),
            MATCH(
               UPPER(MID(B7,4,3)),
               {"JAN";"FEB";"MAR";"APR";"MAY";"JUN";"JUL";"AUG";"SEP";"OCT";"NOV";"DEC"},
               0
            ),
            VALUE(LEFT(B7,2))
         ),
      "ERROR")
   )
)</f>
        <v>46100</v>
      </c>
    </row>
    <row r="8" spans="1:12" hidden="1" x14ac:dyDescent="0.25">
      <c r="A8">
        <f>Dataset_con_Errores!A8</f>
        <v>7</v>
      </c>
      <c r="B8" s="5" t="str">
        <f>TEXT(Dataset_con_Errores!B8,"dd/mm/yyyy")</f>
        <v>01/03/2026</v>
      </c>
      <c r="C8" t="str">
        <f>IF(Dataset_con_Errores!C8="","Sin Cliente",PROPER(TRIM(Dataset_con_Errores!C8)))</f>
        <v>Ana Torres</v>
      </c>
      <c r="D8" t="str">
        <f>PROPER(TRIM(Dataset_con_Errores!D8))</f>
        <v>Bogotá</v>
      </c>
      <c r="E8" t="str">
        <f>IF(Dataset_con_Errores!E8="","Sin especificar",Dataset_con_Errores!E8)</f>
        <v>Sin especificar</v>
      </c>
      <c r="F8">
        <f>IF(Dataset_con_Errores!F8&lt;=0,1,Dataset_con_Errores!F8)</f>
        <v>1</v>
      </c>
      <c r="G8">
        <f>Dataset_con_Errores!G8</f>
        <v>1500</v>
      </c>
      <c r="H8">
        <f t="shared" si="0"/>
        <v>1500</v>
      </c>
      <c r="I8" t="str">
        <f>IF(H8=Dataset_con_Errores!H8,"OK","ERROR")</f>
        <v>ERROR</v>
      </c>
      <c r="L8" s="5">
        <f>IFERROR(
   DATE(RIGHT(B8,4),MID(B8,4,2),LEFT(B8,2)),
   IFERROR(
      DATE(LEFT(B8,4),MID(B8,6,2),RIGHT(B8,2)),
      IFERROR(
         DATE(
            2000+VALUE(RIGHT(B8,2)),
            MATCH(
               UPPER(MID(B8,4,3)),
               {"JAN";"FEB";"MAR";"APR";"MAY";"JUN";"JUL";"AUG";"SEP";"OCT";"NOV";"DEC"},
               0
            ),
            VALUE(LEFT(B8,2))
         ),
      "ERROR")
   )
)</f>
        <v>46082</v>
      </c>
    </row>
    <row r="9" spans="1:12" hidden="1" x14ac:dyDescent="0.25">
      <c r="A9">
        <f>Dataset_con_Errores!A9</f>
        <v>8</v>
      </c>
      <c r="B9" s="5" t="str">
        <f>TEXT(Dataset_con_Errores!B9,"dd/mm/yyyy")</f>
        <v>14/02/2026</v>
      </c>
      <c r="C9" t="str">
        <f>IF(Dataset_con_Errores!C9="","Sin Cliente",PROPER(TRIM(Dataset_con_Errores!C9)))</f>
        <v>Maria Lopez</v>
      </c>
      <c r="D9" t="str">
        <f>PROPER(TRIM(Dataset_con_Errores!D9))</f>
        <v>Bogota</v>
      </c>
      <c r="E9" t="str">
        <f>IF(Dataset_con_Errores!E9="","Sin especificar",Dataset_con_Errores!E9)</f>
        <v>Teclado</v>
      </c>
      <c r="F9">
        <f>IF(Dataset_con_Errores!F9&lt;=0,1,Dataset_con_Errores!F9)</f>
        <v>1</v>
      </c>
      <c r="G9">
        <f>Dataset_con_Errores!G9</f>
        <v>50</v>
      </c>
      <c r="H9">
        <f t="shared" si="0"/>
        <v>50</v>
      </c>
      <c r="I9" t="str">
        <f>IF(H9=Dataset_con_Errores!H9,"OK","ERROR")</f>
        <v>ERROR</v>
      </c>
      <c r="L9" s="5">
        <f>IFERROR(
   DATE(RIGHT(B9,4),MID(B9,4,2),LEFT(B9,2)),
   IFERROR(
      DATE(LEFT(B9,4),MID(B9,6,2),RIGHT(B9,2)),
      IFERROR(
         DATE(
            2000+VALUE(RIGHT(B9,2)),
            MATCH(
               UPPER(MID(B9,4,3)),
               {"JAN";"FEB";"MAR";"APR";"MAY";"JUN";"JUL";"AUG";"SEP";"OCT";"NOV";"DEC"},
               0
            ),
            VALUE(LEFT(B9,2))
         ),
      "ERROR")
   )
)</f>
        <v>46067</v>
      </c>
    </row>
    <row r="10" spans="1:12" x14ac:dyDescent="0.25">
      <c r="A10">
        <f>Dataset_con_Errores!A10</f>
        <v>9</v>
      </c>
      <c r="B10" s="5" t="str">
        <f>TEXT(Dataset_con_Errores!B10,"dd/mm/yyyy")</f>
        <v>12/03/2026</v>
      </c>
      <c r="C10" t="str">
        <f>IF(Dataset_con_Errores!C10="","Sin Cliente",PROPER(TRIM(Dataset_con_Errores!C10)))</f>
        <v>Ana Torres</v>
      </c>
      <c r="D10" t="str">
        <f>PROPER(TRIM(Dataset_con_Errores!D10))</f>
        <v>Medellin</v>
      </c>
      <c r="E10" t="str">
        <f>IF(Dataset_con_Errores!E10="","Sin especificar",Dataset_con_Errores!E10)</f>
        <v>Laptop</v>
      </c>
      <c r="F10">
        <f>IF(Dataset_con_Errores!F10&lt;=0,1,Dataset_con_Errores!F10)</f>
        <v>2</v>
      </c>
      <c r="G10">
        <f>Dataset_con_Errores!G10</f>
        <v>80</v>
      </c>
      <c r="H10">
        <f t="shared" si="0"/>
        <v>160</v>
      </c>
      <c r="I10" t="str">
        <f>IF(H10=Dataset_con_Errores!H10,"OK","ERROR")</f>
        <v>OK</v>
      </c>
      <c r="L10" s="5">
        <f>IFERROR(
   DATE(RIGHT(B10,4),MID(B10,4,2),LEFT(B10,2)),
   IFERROR(
      DATE(LEFT(B10,4),MID(B10,6,2),RIGHT(B10,2)),
      IFERROR(
         DATE(
            2000+VALUE(RIGHT(B10,2)),
            MATCH(
               UPPER(MID(B10,4,3)),
               {"JAN";"FEB";"MAR";"APR";"MAY";"JUN";"JUL";"AUG";"SEP";"OCT";"NOV";"DEC"},
               0
            ),
            VALUE(LEFT(B10,2))
         ),
      "ERROR")
   )
)</f>
        <v>46093</v>
      </c>
    </row>
    <row r="11" spans="1:12" hidden="1" x14ac:dyDescent="0.25">
      <c r="A11">
        <f>Dataset_con_Errores!A11</f>
        <v>10</v>
      </c>
      <c r="B11" s="5" t="str">
        <f>TEXT(Dataset_con_Errores!B11,"dd/mm/yyyy")</f>
        <v>01/02/2026</v>
      </c>
      <c r="C11" t="str">
        <f>IF(Dataset_con_Errores!C11="","Sin Cliente",PROPER(TRIM(Dataset_con_Errores!C11)))</f>
        <v>Juan Perez</v>
      </c>
      <c r="D11" t="str">
        <f>PROPER(TRIM(Dataset_con_Errores!D11))</f>
        <v>Bogotá</v>
      </c>
      <c r="E11" t="str">
        <f>IF(Dataset_con_Errores!E11="","Sin especificar",Dataset_con_Errores!E11)</f>
        <v>Sin especificar</v>
      </c>
      <c r="F11">
        <f>IF(Dataset_con_Errores!F11&lt;=0,1,Dataset_con_Errores!F11)</f>
        <v>1</v>
      </c>
      <c r="G11">
        <f>Dataset_con_Errores!G11</f>
        <v>80</v>
      </c>
      <c r="H11">
        <f t="shared" si="0"/>
        <v>80</v>
      </c>
      <c r="I11" t="str">
        <f>IF(H11=Dataset_con_Errores!H11,"OK","ERROR")</f>
        <v>ERROR</v>
      </c>
      <c r="L11" s="5">
        <f>IFERROR(
   DATE(RIGHT(B11,4),MID(B11,4,2),LEFT(B11,2)),
   IFERROR(
      DATE(LEFT(B11,4),MID(B11,6,2),RIGHT(B11,2)),
      IFERROR(
         DATE(
            2000+VALUE(RIGHT(B11,2)),
            MATCH(
               UPPER(MID(B11,4,3)),
               {"JAN";"FEB";"MAR";"APR";"MAY";"JUN";"JUL";"AUG";"SEP";"OCT";"NOV";"DEC"},
               0
            ),
            VALUE(LEFT(B11,2))
         ),
      "ERROR")
   )
)</f>
        <v>46054</v>
      </c>
    </row>
    <row r="12" spans="1:12" hidden="1" x14ac:dyDescent="0.25">
      <c r="A12">
        <f>Dataset_con_Errores!A12</f>
        <v>11</v>
      </c>
      <c r="B12" s="5" t="str">
        <f>TEXT(Dataset_con_Errores!B12,"dd/mm/yyyy")</f>
        <v>29/03/2026</v>
      </c>
      <c r="C12" t="str">
        <f>IF(Dataset_con_Errores!C12="","Sin Cliente",PROPER(TRIM(Dataset_con_Errores!C12)))</f>
        <v>Maria Lopez</v>
      </c>
      <c r="D12" t="str">
        <f>PROPER(TRIM(Dataset_con_Errores!D12))</f>
        <v>Bogotá</v>
      </c>
      <c r="E12" t="str">
        <f>IF(Dataset_con_Errores!E12="","Sin especificar",Dataset_con_Errores!E12)</f>
        <v>Sin especificar</v>
      </c>
      <c r="F12">
        <f>IF(Dataset_con_Errores!F12&lt;=0,1,Dataset_con_Errores!F12)</f>
        <v>1</v>
      </c>
      <c r="G12">
        <f>Dataset_con_Errores!G12</f>
        <v>700</v>
      </c>
      <c r="H12">
        <f t="shared" si="0"/>
        <v>700</v>
      </c>
      <c r="I12" t="str">
        <f>IF(H12=Dataset_con_Errores!H12,"OK","ERROR")</f>
        <v>ERROR</v>
      </c>
      <c r="L12" s="5">
        <f>IFERROR(
   DATE(RIGHT(B12,4),MID(B12,4,2),LEFT(B12,2)),
   IFERROR(
      DATE(LEFT(B12,4),MID(B12,6,2),RIGHT(B12,2)),
      IFERROR(
         DATE(
            2000+VALUE(RIGHT(B12,2)),
            MATCH(
               UPPER(MID(B12,4,3)),
               {"JAN";"FEB";"MAR";"APR";"MAY";"JUN";"JUL";"AUG";"SEP";"OCT";"NOV";"DEC"},
               0
            ),
            VALUE(LEFT(B12,2))
         ),
      "ERROR")
   )
)</f>
        <v>46110</v>
      </c>
    </row>
    <row r="13" spans="1:12" hidden="1" x14ac:dyDescent="0.25">
      <c r="A13">
        <f>Dataset_con_Errores!A13</f>
        <v>12</v>
      </c>
      <c r="B13" s="5" t="str">
        <f>TEXT(Dataset_con_Errores!B13,"dd/mm/yyyy")</f>
        <v>29-Jan-26</v>
      </c>
      <c r="C13" t="str">
        <f>IF(Dataset_con_Errores!C13="","Sin Cliente",PROPER(TRIM(Dataset_con_Errores!C13)))</f>
        <v>Carlos Ruiz</v>
      </c>
      <c r="D13" t="str">
        <f>PROPER(TRIM(Dataset_con_Errores!D13))</f>
        <v>Bogotá</v>
      </c>
      <c r="E13" t="str">
        <f>IF(Dataset_con_Errores!E13="","Sin especificar",Dataset_con_Errores!E13)</f>
        <v>Laptop</v>
      </c>
      <c r="F13">
        <f>IF(Dataset_con_Errores!F13&lt;=0,1,Dataset_con_Errores!F13)</f>
        <v>1</v>
      </c>
      <c r="G13">
        <f>Dataset_con_Errores!G13</f>
        <v>700</v>
      </c>
      <c r="H13">
        <f t="shared" si="0"/>
        <v>700</v>
      </c>
      <c r="I13" t="str">
        <f>IF(H13=Dataset_con_Errores!H13,"OK","ERROR")</f>
        <v>ERROR</v>
      </c>
      <c r="L13" s="5">
        <f>IFERROR(
   DATE(RIGHT(B13,4),MID(B13,4,2),LEFT(B13,2)),
   IFERROR(
      DATE(LEFT(B13,4),MID(B13,6,2),RIGHT(B13,2)),
      IFERROR(
         DATE(
            2000+VALUE(RIGHT(B13,2)),
            MATCH(
               UPPER(MID(B13,4,3)),
               {"JAN";"FEB";"MAR";"APR";"MAY";"JUN";"JUL";"AUG";"SEP";"OCT";"NOV";"DEC"},
               0
            ),
            VALUE(LEFT(B13,2))
         ),
      "ERROR")
   )
)</f>
        <v>46051</v>
      </c>
    </row>
    <row r="14" spans="1:12" hidden="1" x14ac:dyDescent="0.25">
      <c r="A14">
        <f>Dataset_con_Errores!A14</f>
        <v>13</v>
      </c>
      <c r="B14" s="5" t="str">
        <f>TEXT(Dataset_con_Errores!B14,"dd/mm/yyyy")</f>
        <v>13/01/2026</v>
      </c>
      <c r="C14" t="str">
        <f>IF(Dataset_con_Errores!C14="","Sin Cliente",PROPER(TRIM(Dataset_con_Errores!C14)))</f>
        <v>Juan Perez</v>
      </c>
      <c r="D14" t="str">
        <f>PROPER(TRIM(Dataset_con_Errores!D14))</f>
        <v>Bogotá</v>
      </c>
      <c r="E14" t="str">
        <f>IF(Dataset_con_Errores!E14="","Sin especificar",Dataset_con_Errores!E14)</f>
        <v>Laptop</v>
      </c>
      <c r="F14">
        <f>IF(Dataset_con_Errores!F14&lt;=0,1,Dataset_con_Errores!F14)</f>
        <v>1</v>
      </c>
      <c r="G14">
        <f>Dataset_con_Errores!G14</f>
        <v>50</v>
      </c>
      <c r="H14">
        <f t="shared" si="0"/>
        <v>50</v>
      </c>
      <c r="I14" t="str">
        <f>IF(H14=Dataset_con_Errores!H14,"OK","ERROR")</f>
        <v>ERROR</v>
      </c>
      <c r="L14" s="5">
        <f>IFERROR(
   DATE(RIGHT(B14,4),MID(B14,4,2),LEFT(B14,2)),
   IFERROR(
      DATE(LEFT(B14,4),MID(B14,6,2),RIGHT(B14,2)),
      IFERROR(
         DATE(
            2000+VALUE(RIGHT(B14,2)),
            MATCH(
               UPPER(MID(B14,4,3)),
               {"JAN";"FEB";"MAR";"APR";"MAY";"JUN";"JUL";"AUG";"SEP";"OCT";"NOV";"DEC"},
               0
            ),
            VALUE(LEFT(B14,2))
         ),
      "ERROR")
   )
)</f>
        <v>46035</v>
      </c>
    </row>
    <row r="15" spans="1:12" hidden="1" x14ac:dyDescent="0.25">
      <c r="A15">
        <f>Dataset_con_Errores!A15</f>
        <v>14</v>
      </c>
      <c r="B15" s="5" t="str">
        <f>TEXT(Dataset_con_Errores!B15,"dd/mm/yyyy")</f>
        <v>09/03/2026</v>
      </c>
      <c r="C15" t="str">
        <f>IF(Dataset_con_Errores!C15="","Sin Cliente",PROPER(TRIM(Dataset_con_Errores!C15)))</f>
        <v>Maria Lopez</v>
      </c>
      <c r="D15" t="str">
        <f>PROPER(TRIM(Dataset_con_Errores!D15))</f>
        <v>Medellin</v>
      </c>
      <c r="E15" t="str">
        <f>IF(Dataset_con_Errores!E15="","Sin especificar",Dataset_con_Errores!E15)</f>
        <v>Mouse</v>
      </c>
      <c r="F15">
        <f>IF(Dataset_con_Errores!F15&lt;=0,1,Dataset_con_Errores!F15)</f>
        <v>1</v>
      </c>
      <c r="G15">
        <f>Dataset_con_Errores!G15</f>
        <v>80</v>
      </c>
      <c r="H15">
        <f t="shared" si="0"/>
        <v>80</v>
      </c>
      <c r="I15" t="str">
        <f>IF(H15=Dataset_con_Errores!H15,"OK","ERROR")</f>
        <v>ERROR</v>
      </c>
    </row>
    <row r="16" spans="1:12" x14ac:dyDescent="0.25">
      <c r="A16">
        <f>Dataset_con_Errores!A16</f>
        <v>15</v>
      </c>
      <c r="B16" s="5" t="str">
        <f>TEXT(Dataset_con_Errores!B16,"dd/mm/yyyy")</f>
        <v>14/01/2026</v>
      </c>
      <c r="C16" t="str">
        <f>IF(Dataset_con_Errores!C16="","Sin Cliente",PROPER(TRIM(Dataset_con_Errores!C16)))</f>
        <v>Sin Cliente</v>
      </c>
      <c r="D16" t="str">
        <f>PROPER(TRIM(Dataset_con_Errores!D16))</f>
        <v>Bogotá</v>
      </c>
      <c r="E16" t="str">
        <f>IF(Dataset_con_Errores!E16="","Sin especificar",Dataset_con_Errores!E16)</f>
        <v>Teclado</v>
      </c>
      <c r="F16">
        <f>IF(Dataset_con_Errores!F16&lt;=0,1,Dataset_con_Errores!F16)</f>
        <v>5</v>
      </c>
      <c r="G16">
        <f>Dataset_con_Errores!G16</f>
        <v>80</v>
      </c>
      <c r="H16">
        <f t="shared" si="0"/>
        <v>400</v>
      </c>
      <c r="I16" t="str">
        <f>IF(H16=Dataset_con_Errores!H16,"OK","ERROR")</f>
        <v>OK</v>
      </c>
    </row>
    <row r="17" spans="1:9" hidden="1" x14ac:dyDescent="0.25">
      <c r="A17">
        <f>Dataset_con_Errores!A17</f>
        <v>16</v>
      </c>
      <c r="B17" s="5" t="str">
        <f>TEXT(Dataset_con_Errores!B17,"dd/mm/yyyy")</f>
        <v>15/01/2026</v>
      </c>
      <c r="C17" t="str">
        <f>IF(Dataset_con_Errores!C17="","Sin Cliente",PROPER(TRIM(Dataset_con_Errores!C17)))</f>
        <v>Carlos Ruiz</v>
      </c>
      <c r="D17" t="str">
        <f>PROPER(TRIM(Dataset_con_Errores!D17))</f>
        <v>Medellin</v>
      </c>
      <c r="E17" t="str">
        <f>IF(Dataset_con_Errores!E17="","Sin especificar",Dataset_con_Errores!E17)</f>
        <v>Sin especificar</v>
      </c>
      <c r="F17">
        <f>IF(Dataset_con_Errores!F17&lt;=0,1,Dataset_con_Errores!F17)</f>
        <v>1</v>
      </c>
      <c r="G17">
        <f>Dataset_con_Errores!G17</f>
        <v>1500</v>
      </c>
      <c r="H17">
        <f t="shared" si="0"/>
        <v>1500</v>
      </c>
      <c r="I17" t="str">
        <f>IF(H17=Dataset_con_Errores!H17,"OK","ERROR")</f>
        <v>ERROR</v>
      </c>
    </row>
    <row r="18" spans="1:9" hidden="1" x14ac:dyDescent="0.25">
      <c r="A18">
        <f>Dataset_con_Errores!A18</f>
        <v>17</v>
      </c>
      <c r="B18" s="5" t="str">
        <f>TEXT(Dataset_con_Errores!B18,"dd/mm/yyyy")</f>
        <v>09/02/2026</v>
      </c>
      <c r="C18" t="str">
        <f>IF(Dataset_con_Errores!C18="","Sin Cliente",PROPER(TRIM(Dataset_con_Errores!C18)))</f>
        <v>Ana Torres</v>
      </c>
      <c r="D18" t="str">
        <f>PROPER(TRIM(Dataset_con_Errores!D18))</f>
        <v>Medellín</v>
      </c>
      <c r="E18" t="str">
        <f>IF(Dataset_con_Errores!E18="","Sin especificar",Dataset_con_Errores!E18)</f>
        <v>Teclado</v>
      </c>
      <c r="F18">
        <f>IF(Dataset_con_Errores!F18&lt;=0,1,Dataset_con_Errores!F18)</f>
        <v>1</v>
      </c>
      <c r="G18">
        <f>Dataset_con_Errores!G18</f>
        <v>1500</v>
      </c>
      <c r="H18">
        <f t="shared" si="0"/>
        <v>1500</v>
      </c>
      <c r="I18" t="str">
        <f>IF(H18=Dataset_con_Errores!H18,"OK","ERROR")</f>
        <v>ERROR</v>
      </c>
    </row>
    <row r="19" spans="1:9" hidden="1" x14ac:dyDescent="0.25">
      <c r="A19">
        <f>Dataset_con_Errores!A19</f>
        <v>18</v>
      </c>
      <c r="B19" s="5" t="str">
        <f>TEXT(Dataset_con_Errores!B19,"dd/mm/yyyy")</f>
        <v>05/03/2026</v>
      </c>
      <c r="C19" t="str">
        <f>IF(Dataset_con_Errores!C19="","Sin Cliente",PROPER(TRIM(Dataset_con_Errores!C19)))</f>
        <v>Maria Lopez</v>
      </c>
      <c r="D19" t="str">
        <f>PROPER(TRIM(Dataset_con_Errores!D19))</f>
        <v>Bogotá</v>
      </c>
      <c r="E19" t="str">
        <f>IF(Dataset_con_Errores!E19="","Sin especificar",Dataset_con_Errores!E19)</f>
        <v>Laptop</v>
      </c>
      <c r="F19">
        <f>IF(Dataset_con_Errores!F19&lt;=0,1,Dataset_con_Errores!F19)</f>
        <v>1</v>
      </c>
      <c r="G19">
        <f>Dataset_con_Errores!G19</f>
        <v>700</v>
      </c>
      <c r="H19">
        <f t="shared" si="0"/>
        <v>700</v>
      </c>
      <c r="I19" t="str">
        <f>IF(H19=Dataset_con_Errores!H19,"OK","ERROR")</f>
        <v>ERROR</v>
      </c>
    </row>
    <row r="20" spans="1:9" x14ac:dyDescent="0.25">
      <c r="A20">
        <f>Dataset_con_Errores!A20</f>
        <v>19</v>
      </c>
      <c r="B20" s="5" t="str">
        <f>TEXT(Dataset_con_Errores!B20,"dd/mm/yyyy")</f>
        <v>11/02/2026</v>
      </c>
      <c r="C20" t="str">
        <f>IF(Dataset_con_Errores!C20="","Sin Cliente",PROPER(TRIM(Dataset_con_Errores!C20)))</f>
        <v>Sin Cliente</v>
      </c>
      <c r="D20" t="str">
        <f>PROPER(TRIM(Dataset_con_Errores!D20))</f>
        <v>Bogota</v>
      </c>
      <c r="E20" t="str">
        <f>IF(Dataset_con_Errores!E20="","Sin especificar",Dataset_con_Errores!E20)</f>
        <v>Teclado</v>
      </c>
      <c r="F20">
        <f>IF(Dataset_con_Errores!F20&lt;=0,1,Dataset_con_Errores!F20)</f>
        <v>4</v>
      </c>
      <c r="G20">
        <f>Dataset_con_Errores!G20</f>
        <v>700</v>
      </c>
      <c r="H20">
        <f t="shared" si="0"/>
        <v>2800</v>
      </c>
      <c r="I20" t="str">
        <f>IF(H20=Dataset_con_Errores!H20,"OK","ERROR")</f>
        <v>OK</v>
      </c>
    </row>
    <row r="21" spans="1:9" x14ac:dyDescent="0.25">
      <c r="A21">
        <f>Dataset_con_Errores!A21</f>
        <v>20</v>
      </c>
      <c r="B21" s="5" t="str">
        <f>TEXT(Dataset_con_Errores!B21,"dd/mm/yyyy")</f>
        <v>08/01/2026</v>
      </c>
      <c r="C21" t="str">
        <f>IF(Dataset_con_Errores!C21="","Sin Cliente",PROPER(TRIM(Dataset_con_Errores!C21)))</f>
        <v>Ana Torres</v>
      </c>
      <c r="D21" t="str">
        <f>PROPER(TRIM(Dataset_con_Errores!D21))</f>
        <v>Medellin</v>
      </c>
      <c r="E21" t="str">
        <f>IF(Dataset_con_Errores!E21="","Sin especificar",Dataset_con_Errores!E21)</f>
        <v>Sin especificar</v>
      </c>
      <c r="F21">
        <f>IF(Dataset_con_Errores!F21&lt;=0,1,Dataset_con_Errores!F21)</f>
        <v>4</v>
      </c>
      <c r="G21">
        <f>Dataset_con_Errores!G21</f>
        <v>700</v>
      </c>
      <c r="H21">
        <f t="shared" si="0"/>
        <v>2800</v>
      </c>
      <c r="I21" t="str">
        <f>IF(H21=Dataset_con_Errores!H21,"OK","ERROR")</f>
        <v>OK</v>
      </c>
    </row>
    <row r="22" spans="1:9" hidden="1" x14ac:dyDescent="0.25">
      <c r="A22">
        <f>Dataset_con_Errores!A22</f>
        <v>21</v>
      </c>
      <c r="B22" s="5" t="str">
        <f>TEXT(Dataset_con_Errores!B22,"dd/mm/yyyy")</f>
        <v>27/03/2026</v>
      </c>
      <c r="C22" t="str">
        <f>IF(Dataset_con_Errores!C22="","Sin Cliente",PROPER(TRIM(Dataset_con_Errores!C22)))</f>
        <v>Maria Lopez</v>
      </c>
      <c r="D22" t="str">
        <f>PROPER(TRIM(Dataset_con_Errores!D22))</f>
        <v>Bogota</v>
      </c>
      <c r="E22" t="str">
        <f>IF(Dataset_con_Errores!E22="","Sin especificar",Dataset_con_Errores!E22)</f>
        <v>Sin especificar</v>
      </c>
      <c r="F22">
        <f>IF(Dataset_con_Errores!F22&lt;=0,1,Dataset_con_Errores!F22)</f>
        <v>1</v>
      </c>
      <c r="G22">
        <f>Dataset_con_Errores!G22</f>
        <v>700</v>
      </c>
      <c r="H22">
        <f t="shared" si="0"/>
        <v>700</v>
      </c>
      <c r="I22" t="str">
        <f>IF(H22=Dataset_con_Errores!H22,"OK","ERROR")</f>
        <v>ERROR</v>
      </c>
    </row>
    <row r="23" spans="1:9" hidden="1" x14ac:dyDescent="0.25">
      <c r="A23">
        <f>Dataset_con_Errores!A23</f>
        <v>22</v>
      </c>
      <c r="B23" s="5" t="str">
        <f>TEXT(Dataset_con_Errores!B23,"dd/mm/yyyy")</f>
        <v>07/01/2026</v>
      </c>
      <c r="C23" t="str">
        <f>IF(Dataset_con_Errores!C23="","Sin Cliente",PROPER(TRIM(Dataset_con_Errores!C23)))</f>
        <v>Sin Cliente</v>
      </c>
      <c r="D23" t="str">
        <f>PROPER(TRIM(Dataset_con_Errores!D23))</f>
        <v>Medellin</v>
      </c>
      <c r="E23" t="str">
        <f>IF(Dataset_con_Errores!E23="","Sin especificar",Dataset_con_Errores!E23)</f>
        <v>Sin especificar</v>
      </c>
      <c r="F23">
        <f>IF(Dataset_con_Errores!F23&lt;=0,1,Dataset_con_Errores!F23)</f>
        <v>1</v>
      </c>
      <c r="G23">
        <f>Dataset_con_Errores!G23</f>
        <v>700</v>
      </c>
      <c r="H23">
        <f t="shared" si="0"/>
        <v>700</v>
      </c>
      <c r="I23" t="str">
        <f>IF(H23=Dataset_con_Errores!H23,"OK","ERROR")</f>
        <v>ERROR</v>
      </c>
    </row>
    <row r="24" spans="1:9" hidden="1" x14ac:dyDescent="0.25">
      <c r="A24">
        <f>Dataset_con_Errores!A24</f>
        <v>23</v>
      </c>
      <c r="B24" s="5" t="str">
        <f>TEXT(Dataset_con_Errores!B24,"dd/mm/yyyy")</f>
        <v>13-Jan-26</v>
      </c>
      <c r="C24" t="str">
        <f>IF(Dataset_con_Errores!C24="","Sin Cliente",PROPER(TRIM(Dataset_con_Errores!C24)))</f>
        <v>Carlos Ruiz</v>
      </c>
      <c r="D24" t="str">
        <f>PROPER(TRIM(Dataset_con_Errores!D24))</f>
        <v>Medellin</v>
      </c>
      <c r="E24" t="str">
        <f>IF(Dataset_con_Errores!E24="","Sin especificar",Dataset_con_Errores!E24)</f>
        <v>Monitor</v>
      </c>
      <c r="F24">
        <f>IF(Dataset_con_Errores!F24&lt;=0,1,Dataset_con_Errores!F24)</f>
        <v>5</v>
      </c>
      <c r="G24">
        <f>Dataset_con_Errores!G24</f>
        <v>700</v>
      </c>
      <c r="H24">
        <f t="shared" si="0"/>
        <v>3500</v>
      </c>
      <c r="I24" t="str">
        <f>IF(H24=Dataset_con_Errores!H24,"OK","ERROR")</f>
        <v>ERROR</v>
      </c>
    </row>
    <row r="25" spans="1:9" hidden="1" x14ac:dyDescent="0.25">
      <c r="A25">
        <f>Dataset_con_Errores!A25</f>
        <v>24</v>
      </c>
      <c r="B25" s="5" t="str">
        <f>TEXT(Dataset_con_Errores!B25,"dd/mm/yyyy")</f>
        <v>07/03/2026</v>
      </c>
      <c r="C25" t="str">
        <f>IF(Dataset_con_Errores!C25="","Sin Cliente",PROPER(TRIM(Dataset_con_Errores!C25)))</f>
        <v>Carlos Ruiz</v>
      </c>
      <c r="D25" t="str">
        <f>PROPER(TRIM(Dataset_con_Errores!D25))</f>
        <v>Bogotá</v>
      </c>
      <c r="E25" t="str">
        <f>IF(Dataset_con_Errores!E25="","Sin especificar",Dataset_con_Errores!E25)</f>
        <v>Laptop</v>
      </c>
      <c r="F25">
        <f>IF(Dataset_con_Errores!F25&lt;=0,1,Dataset_con_Errores!F25)</f>
        <v>1</v>
      </c>
      <c r="G25">
        <f>Dataset_con_Errores!G25</f>
        <v>80</v>
      </c>
      <c r="H25">
        <f t="shared" si="0"/>
        <v>80</v>
      </c>
      <c r="I25" t="str">
        <f>IF(H25=Dataset_con_Errores!H25,"OK","ERROR")</f>
        <v>ERROR</v>
      </c>
    </row>
    <row r="26" spans="1:9" hidden="1" x14ac:dyDescent="0.25">
      <c r="A26">
        <f>Dataset_con_Errores!A26</f>
        <v>25</v>
      </c>
      <c r="B26" s="5" t="str">
        <f>TEXT(Dataset_con_Errores!B26,"dd/mm/yyyy")</f>
        <v>31-Jan-26</v>
      </c>
      <c r="C26" t="str">
        <f>IF(Dataset_con_Errores!C26="","Sin Cliente",PROPER(TRIM(Dataset_con_Errores!C26)))</f>
        <v>Maria Lopez</v>
      </c>
      <c r="D26" t="str">
        <f>PROPER(TRIM(Dataset_con_Errores!D26))</f>
        <v>Bogotá</v>
      </c>
      <c r="E26" t="str">
        <f>IF(Dataset_con_Errores!E26="","Sin especificar",Dataset_con_Errores!E26)</f>
        <v>Teclado</v>
      </c>
      <c r="F26">
        <f>IF(Dataset_con_Errores!F26&lt;=0,1,Dataset_con_Errores!F26)</f>
        <v>1</v>
      </c>
      <c r="G26">
        <f>Dataset_con_Errores!G26</f>
        <v>50</v>
      </c>
      <c r="H26">
        <f t="shared" si="0"/>
        <v>50</v>
      </c>
      <c r="I26" t="str">
        <f>IF(H26=Dataset_con_Errores!H26,"OK","ERROR")</f>
        <v>ERROR</v>
      </c>
    </row>
    <row r="27" spans="1:9" x14ac:dyDescent="0.25">
      <c r="A27">
        <f>Dataset_con_Errores!A27</f>
        <v>26</v>
      </c>
      <c r="B27" s="5" t="str">
        <f>TEXT(Dataset_con_Errores!B27,"dd/mm/yyyy")</f>
        <v>13/02/2026</v>
      </c>
      <c r="C27" t="str">
        <f>IF(Dataset_con_Errores!C27="","Sin Cliente",PROPER(TRIM(Dataset_con_Errores!C27)))</f>
        <v>Sin Cliente</v>
      </c>
      <c r="D27" t="str">
        <f>PROPER(TRIM(Dataset_con_Errores!D27))</f>
        <v>Bogotá</v>
      </c>
      <c r="E27" t="str">
        <f>IF(Dataset_con_Errores!E27="","Sin especificar",Dataset_con_Errores!E27)</f>
        <v>Sin especificar</v>
      </c>
      <c r="F27">
        <f>IF(Dataset_con_Errores!F27&lt;=0,1,Dataset_con_Errores!F27)</f>
        <v>5</v>
      </c>
      <c r="G27">
        <f>Dataset_con_Errores!G27</f>
        <v>80</v>
      </c>
      <c r="H27">
        <f t="shared" si="0"/>
        <v>400</v>
      </c>
      <c r="I27" t="str">
        <f>IF(H27=Dataset_con_Errores!H27,"OK","ERROR")</f>
        <v>OK</v>
      </c>
    </row>
    <row r="28" spans="1:9" hidden="1" x14ac:dyDescent="0.25">
      <c r="A28">
        <f>Dataset_con_Errores!A28</f>
        <v>27</v>
      </c>
      <c r="B28" s="5" t="str">
        <f>TEXT(Dataset_con_Errores!B28,"dd/mm/yyyy")</f>
        <v>09/01/2026</v>
      </c>
      <c r="C28" t="str">
        <f>IF(Dataset_con_Errores!C28="","Sin Cliente",PROPER(TRIM(Dataset_con_Errores!C28)))</f>
        <v>Carlos Ruiz</v>
      </c>
      <c r="D28" t="str">
        <f>PROPER(TRIM(Dataset_con_Errores!D28))</f>
        <v>Bogota</v>
      </c>
      <c r="E28" t="str">
        <f>IF(Dataset_con_Errores!E28="","Sin especificar",Dataset_con_Errores!E28)</f>
        <v>Sin especificar</v>
      </c>
      <c r="F28">
        <f>IF(Dataset_con_Errores!F28&lt;=0,1,Dataset_con_Errores!F28)</f>
        <v>1</v>
      </c>
      <c r="G28">
        <f>Dataset_con_Errores!G28</f>
        <v>1500</v>
      </c>
      <c r="H28">
        <f t="shared" si="0"/>
        <v>1500</v>
      </c>
      <c r="I28" t="str">
        <f>IF(H28=Dataset_con_Errores!H28,"OK","ERROR")</f>
        <v>ERROR</v>
      </c>
    </row>
    <row r="29" spans="1:9" hidden="1" x14ac:dyDescent="0.25">
      <c r="A29">
        <f>Dataset_con_Errores!A29</f>
        <v>28</v>
      </c>
      <c r="B29" s="5" t="str">
        <f>TEXT(Dataset_con_Errores!B29,"dd/mm/yyyy")</f>
        <v>25/02/2026</v>
      </c>
      <c r="C29" t="str">
        <f>IF(Dataset_con_Errores!C29="","Sin Cliente",PROPER(TRIM(Dataset_con_Errores!C29)))</f>
        <v>Ana Torres</v>
      </c>
      <c r="D29" t="str">
        <f>PROPER(TRIM(Dataset_con_Errores!D29))</f>
        <v>Bogotá</v>
      </c>
      <c r="E29" t="str">
        <f>IF(Dataset_con_Errores!E29="","Sin especificar",Dataset_con_Errores!E29)</f>
        <v>Mouse</v>
      </c>
      <c r="F29">
        <f>IF(Dataset_con_Errores!F29&lt;=0,1,Dataset_con_Errores!F29)</f>
        <v>1</v>
      </c>
      <c r="G29">
        <f>Dataset_con_Errores!G29</f>
        <v>1500</v>
      </c>
      <c r="H29">
        <f t="shared" si="0"/>
        <v>1500</v>
      </c>
      <c r="I29" t="str">
        <f>IF(H29=Dataset_con_Errores!H29,"OK","ERROR")</f>
        <v>ERROR</v>
      </c>
    </row>
    <row r="30" spans="1:9" hidden="1" x14ac:dyDescent="0.25">
      <c r="A30">
        <f>Dataset_con_Errores!A30</f>
        <v>29</v>
      </c>
      <c r="B30" s="5" t="str">
        <f>TEXT(Dataset_con_Errores!B30,"dd/mm/yyyy")</f>
        <v>22/01/2026</v>
      </c>
      <c r="C30" t="str">
        <f>IF(Dataset_con_Errores!C30="","Sin Cliente",PROPER(TRIM(Dataset_con_Errores!C30)))</f>
        <v>Juan Perez</v>
      </c>
      <c r="D30" t="str">
        <f>PROPER(TRIM(Dataset_con_Errores!D30))</f>
        <v>Bogotá</v>
      </c>
      <c r="E30" t="str">
        <f>IF(Dataset_con_Errores!E30="","Sin especificar",Dataset_con_Errores!E30)</f>
        <v>Mouse</v>
      </c>
      <c r="F30">
        <f>IF(Dataset_con_Errores!F30&lt;=0,1,Dataset_con_Errores!F30)</f>
        <v>5</v>
      </c>
      <c r="G30">
        <f>Dataset_con_Errores!G30</f>
        <v>700</v>
      </c>
      <c r="H30">
        <f t="shared" si="0"/>
        <v>3500</v>
      </c>
      <c r="I30" t="str">
        <f>IF(H30=Dataset_con_Errores!H30,"OK","ERROR")</f>
        <v>ERROR</v>
      </c>
    </row>
    <row r="31" spans="1:9" hidden="1" x14ac:dyDescent="0.25">
      <c r="A31">
        <f>Dataset_con_Errores!A31</f>
        <v>30</v>
      </c>
      <c r="B31" s="5" t="str">
        <f>TEXT(Dataset_con_Errores!B31,"dd/mm/yyyy")</f>
        <v>09-Jan-26</v>
      </c>
      <c r="C31" t="str">
        <f>IF(Dataset_con_Errores!C31="","Sin Cliente",PROPER(TRIM(Dataset_con_Errores!C31)))</f>
        <v>Maria Lopez</v>
      </c>
      <c r="D31" t="str">
        <f>PROPER(TRIM(Dataset_con_Errores!D31))</f>
        <v>Medellin</v>
      </c>
      <c r="E31" t="str">
        <f>IF(Dataset_con_Errores!E31="","Sin especificar",Dataset_con_Errores!E31)</f>
        <v>Laptop</v>
      </c>
      <c r="F31">
        <f>IF(Dataset_con_Errores!F31&lt;=0,1,Dataset_con_Errores!F31)</f>
        <v>1</v>
      </c>
      <c r="G31">
        <f>Dataset_con_Errores!G31</f>
        <v>80</v>
      </c>
      <c r="H31">
        <f t="shared" si="0"/>
        <v>80</v>
      </c>
      <c r="I31" t="str">
        <f>IF(H31=Dataset_con_Errores!H31,"OK","ERROR")</f>
        <v>ERROR</v>
      </c>
    </row>
    <row r="32" spans="1:9" hidden="1" x14ac:dyDescent="0.25">
      <c r="A32">
        <f>Dataset_con_Errores!A32</f>
        <v>31</v>
      </c>
      <c r="B32" s="5" t="str">
        <f>TEXT(Dataset_con_Errores!B32,"dd/mm/yyyy")</f>
        <v>14/02/2026</v>
      </c>
      <c r="C32" t="str">
        <f>IF(Dataset_con_Errores!C32="","Sin Cliente",PROPER(TRIM(Dataset_con_Errores!C32)))</f>
        <v>Carlos Ruiz</v>
      </c>
      <c r="D32" t="str">
        <f>PROPER(TRIM(Dataset_con_Errores!D32))</f>
        <v>Medellín</v>
      </c>
      <c r="E32" t="str">
        <f>IF(Dataset_con_Errores!E32="","Sin especificar",Dataset_con_Errores!E32)</f>
        <v>Laptop</v>
      </c>
      <c r="F32">
        <f>IF(Dataset_con_Errores!F32&lt;=0,1,Dataset_con_Errores!F32)</f>
        <v>1</v>
      </c>
      <c r="G32">
        <f>Dataset_con_Errores!G32</f>
        <v>1500</v>
      </c>
      <c r="H32">
        <f t="shared" si="0"/>
        <v>1500</v>
      </c>
      <c r="I32" t="str">
        <f>IF(H32=Dataset_con_Errores!H32,"OK","ERROR")</f>
        <v>ERROR</v>
      </c>
    </row>
    <row r="33" spans="1:9" hidden="1" x14ac:dyDescent="0.25">
      <c r="A33">
        <f>Dataset_con_Errores!A33</f>
        <v>32</v>
      </c>
      <c r="B33" s="5" t="str">
        <f>TEXT(Dataset_con_Errores!B33,"dd/mm/yyyy")</f>
        <v>19/02/2026</v>
      </c>
      <c r="C33" t="str">
        <f>IF(Dataset_con_Errores!C33="","Sin Cliente",PROPER(TRIM(Dataset_con_Errores!C33)))</f>
        <v>Maria Lopez</v>
      </c>
      <c r="D33" t="str">
        <f>PROPER(TRIM(Dataset_con_Errores!D33))</f>
        <v>Bogotá</v>
      </c>
      <c r="E33" t="str">
        <f>IF(Dataset_con_Errores!E33="","Sin especificar",Dataset_con_Errores!E33)</f>
        <v>Monitor</v>
      </c>
      <c r="F33">
        <f>IF(Dataset_con_Errores!F33&lt;=0,1,Dataset_con_Errores!F33)</f>
        <v>3</v>
      </c>
      <c r="G33">
        <f>Dataset_con_Errores!G33</f>
        <v>1500</v>
      </c>
      <c r="H33">
        <f t="shared" si="0"/>
        <v>4500</v>
      </c>
      <c r="I33" t="str">
        <f>IF(H33=Dataset_con_Errores!H33,"OK","ERROR")</f>
        <v>ERROR</v>
      </c>
    </row>
    <row r="34" spans="1:9" hidden="1" x14ac:dyDescent="0.25">
      <c r="A34">
        <f>Dataset_con_Errores!A34</f>
        <v>33</v>
      </c>
      <c r="B34" s="5" t="str">
        <f>TEXT(Dataset_con_Errores!B34,"dd/mm/yyyy")</f>
        <v>16/02/2026</v>
      </c>
      <c r="C34" t="str">
        <f>IF(Dataset_con_Errores!C34="","Sin Cliente",PROPER(TRIM(Dataset_con_Errores!C34)))</f>
        <v>Maria Lopez</v>
      </c>
      <c r="D34" t="str">
        <f>PROPER(TRIM(Dataset_con_Errores!D34))</f>
        <v>Bogota</v>
      </c>
      <c r="E34" t="str">
        <f>IF(Dataset_con_Errores!E34="","Sin especificar",Dataset_con_Errores!E34)</f>
        <v>Mouse</v>
      </c>
      <c r="F34">
        <f>IF(Dataset_con_Errores!F34&lt;=0,1,Dataset_con_Errores!F34)</f>
        <v>1</v>
      </c>
      <c r="G34">
        <f>Dataset_con_Errores!G34</f>
        <v>1500</v>
      </c>
      <c r="H34">
        <f t="shared" si="0"/>
        <v>1500</v>
      </c>
      <c r="I34" t="str">
        <f>IF(H34=Dataset_con_Errores!H34,"OK","ERROR")</f>
        <v>ERROR</v>
      </c>
    </row>
    <row r="35" spans="1:9" hidden="1" x14ac:dyDescent="0.25">
      <c r="A35">
        <f>Dataset_con_Errores!A35</f>
        <v>34</v>
      </c>
      <c r="B35" s="5" t="str">
        <f>TEXT(Dataset_con_Errores!B35,"dd/mm/yyyy")</f>
        <v>04/02/2026</v>
      </c>
      <c r="C35" t="str">
        <f>IF(Dataset_con_Errores!C35="","Sin Cliente",PROPER(TRIM(Dataset_con_Errores!C35)))</f>
        <v>Ana Torres</v>
      </c>
      <c r="D35" t="str">
        <f>PROPER(TRIM(Dataset_con_Errores!D35))</f>
        <v>Bogotá</v>
      </c>
      <c r="E35" t="str">
        <f>IF(Dataset_con_Errores!E35="","Sin especificar",Dataset_con_Errores!E35)</f>
        <v>Monitor</v>
      </c>
      <c r="F35">
        <f>IF(Dataset_con_Errores!F35&lt;=0,1,Dataset_con_Errores!F35)</f>
        <v>1</v>
      </c>
      <c r="G35">
        <f>Dataset_con_Errores!G35</f>
        <v>50</v>
      </c>
      <c r="H35">
        <f t="shared" si="0"/>
        <v>50</v>
      </c>
      <c r="I35" t="str">
        <f>IF(H35=Dataset_con_Errores!H35,"OK","ERROR")</f>
        <v>ERROR</v>
      </c>
    </row>
    <row r="36" spans="1:9" hidden="1" x14ac:dyDescent="0.25">
      <c r="A36">
        <f>Dataset_con_Errores!A36</f>
        <v>35</v>
      </c>
      <c r="B36" s="5" t="str">
        <f>TEXT(Dataset_con_Errores!B36,"dd/mm/yyyy")</f>
        <v>15/03/2026</v>
      </c>
      <c r="C36" t="str">
        <f>IF(Dataset_con_Errores!C36="","Sin Cliente",PROPER(TRIM(Dataset_con_Errores!C36)))</f>
        <v>Juan Perez</v>
      </c>
      <c r="D36" t="str">
        <f>PROPER(TRIM(Dataset_con_Errores!D36))</f>
        <v>Bogotá</v>
      </c>
      <c r="E36" t="str">
        <f>IF(Dataset_con_Errores!E36="","Sin especificar",Dataset_con_Errores!E36)</f>
        <v>Teclado</v>
      </c>
      <c r="F36">
        <f>IF(Dataset_con_Errores!F36&lt;=0,1,Dataset_con_Errores!F36)</f>
        <v>1</v>
      </c>
      <c r="G36">
        <f>Dataset_con_Errores!G36</f>
        <v>80</v>
      </c>
      <c r="H36">
        <f t="shared" si="0"/>
        <v>80</v>
      </c>
      <c r="I36" t="str">
        <f>IF(H36=Dataset_con_Errores!H36,"OK","ERROR")</f>
        <v>ERROR</v>
      </c>
    </row>
    <row r="37" spans="1:9" x14ac:dyDescent="0.25">
      <c r="A37">
        <f>Dataset_con_Errores!A37</f>
        <v>36</v>
      </c>
      <c r="B37" s="5" t="str">
        <f>TEXT(Dataset_con_Errores!B37,"dd/mm/yyyy")</f>
        <v>22/03/2026</v>
      </c>
      <c r="C37" t="str">
        <f>IF(Dataset_con_Errores!C37="","Sin Cliente",PROPER(TRIM(Dataset_con_Errores!C37)))</f>
        <v>Ana Torres</v>
      </c>
      <c r="D37" t="str">
        <f>PROPER(TRIM(Dataset_con_Errores!D37))</f>
        <v>Medellín</v>
      </c>
      <c r="E37" t="str">
        <f>IF(Dataset_con_Errores!E37="","Sin especificar",Dataset_con_Errores!E37)</f>
        <v>Sin especificar</v>
      </c>
      <c r="F37">
        <f>IF(Dataset_con_Errores!F37&lt;=0,1,Dataset_con_Errores!F37)</f>
        <v>2</v>
      </c>
      <c r="G37">
        <f>Dataset_con_Errores!G37</f>
        <v>50</v>
      </c>
      <c r="H37">
        <f t="shared" si="0"/>
        <v>100</v>
      </c>
      <c r="I37" t="str">
        <f>IF(H37=Dataset_con_Errores!H37,"OK","ERROR")</f>
        <v>OK</v>
      </c>
    </row>
    <row r="38" spans="1:9" hidden="1" x14ac:dyDescent="0.25">
      <c r="A38">
        <f>Dataset_con_Errores!A38</f>
        <v>37</v>
      </c>
      <c r="B38" s="5" t="str">
        <f>TEXT(Dataset_con_Errores!B38,"dd/mm/yyyy")</f>
        <v>25-Jan-26</v>
      </c>
      <c r="C38" t="str">
        <f>IF(Dataset_con_Errores!C38="","Sin Cliente",PROPER(TRIM(Dataset_con_Errores!C38)))</f>
        <v>Sin Cliente</v>
      </c>
      <c r="D38" t="str">
        <f>PROPER(TRIM(Dataset_con_Errores!D38))</f>
        <v>Bogotá</v>
      </c>
      <c r="E38" t="str">
        <f>IF(Dataset_con_Errores!E38="","Sin especificar",Dataset_con_Errores!E38)</f>
        <v>Sin especificar</v>
      </c>
      <c r="F38">
        <f>IF(Dataset_con_Errores!F38&lt;=0,1,Dataset_con_Errores!F38)</f>
        <v>1</v>
      </c>
      <c r="G38">
        <f>Dataset_con_Errores!G38</f>
        <v>1500</v>
      </c>
      <c r="H38">
        <f t="shared" si="0"/>
        <v>1500</v>
      </c>
      <c r="I38" t="str">
        <f>IF(H38=Dataset_con_Errores!H38,"OK","ERROR")</f>
        <v>ERROR</v>
      </c>
    </row>
    <row r="39" spans="1:9" hidden="1" x14ac:dyDescent="0.25">
      <c r="A39">
        <f>Dataset_con_Errores!A39</f>
        <v>38</v>
      </c>
      <c r="B39" s="5" t="str">
        <f>TEXT(Dataset_con_Errores!B39,"dd/mm/yyyy")</f>
        <v>05-Jan-26</v>
      </c>
      <c r="C39" t="str">
        <f>IF(Dataset_con_Errores!C39="","Sin Cliente",PROPER(TRIM(Dataset_con_Errores!C39)))</f>
        <v>Juan Perez</v>
      </c>
      <c r="D39" t="str">
        <f>PROPER(TRIM(Dataset_con_Errores!D39))</f>
        <v>Bogotá</v>
      </c>
      <c r="E39" t="str">
        <f>IF(Dataset_con_Errores!E39="","Sin especificar",Dataset_con_Errores!E39)</f>
        <v>Sin especificar</v>
      </c>
      <c r="F39">
        <f>IF(Dataset_con_Errores!F39&lt;=0,1,Dataset_con_Errores!F39)</f>
        <v>1</v>
      </c>
      <c r="G39">
        <f>Dataset_con_Errores!G39</f>
        <v>80</v>
      </c>
      <c r="H39">
        <f t="shared" si="0"/>
        <v>80</v>
      </c>
      <c r="I39" t="str">
        <f>IF(H39=Dataset_con_Errores!H39,"OK","ERROR")</f>
        <v>ERROR</v>
      </c>
    </row>
    <row r="40" spans="1:9" hidden="1" x14ac:dyDescent="0.25">
      <c r="A40">
        <f>Dataset_con_Errores!A40</f>
        <v>39</v>
      </c>
      <c r="B40" s="5" t="str">
        <f>TEXT(Dataset_con_Errores!B40,"dd/mm/yyyy")</f>
        <v>13/03/2026</v>
      </c>
      <c r="C40" t="str">
        <f>IF(Dataset_con_Errores!C40="","Sin Cliente",PROPER(TRIM(Dataset_con_Errores!C40)))</f>
        <v>Sin Cliente</v>
      </c>
      <c r="D40" t="str">
        <f>PROPER(TRIM(Dataset_con_Errores!D40))</f>
        <v>Bogotá</v>
      </c>
      <c r="E40" t="str">
        <f>IF(Dataset_con_Errores!E40="","Sin especificar",Dataset_con_Errores!E40)</f>
        <v>Laptop</v>
      </c>
      <c r="F40">
        <f>IF(Dataset_con_Errores!F40&lt;=0,1,Dataset_con_Errores!F40)</f>
        <v>1</v>
      </c>
      <c r="G40">
        <f>Dataset_con_Errores!G40</f>
        <v>80</v>
      </c>
      <c r="H40">
        <f t="shared" si="0"/>
        <v>80</v>
      </c>
      <c r="I40" t="str">
        <f>IF(H40=Dataset_con_Errores!H40,"OK","ERROR")</f>
        <v>ERROR</v>
      </c>
    </row>
    <row r="41" spans="1:9" x14ac:dyDescent="0.25">
      <c r="A41">
        <f>Dataset_con_Errores!A41</f>
        <v>40</v>
      </c>
      <c r="B41" s="5" t="str">
        <f>TEXT(Dataset_con_Errores!B41,"dd/mm/yyyy")</f>
        <v>24/02/2026</v>
      </c>
      <c r="C41" t="str">
        <f>IF(Dataset_con_Errores!C41="","Sin Cliente",PROPER(TRIM(Dataset_con_Errores!C41)))</f>
        <v>Carlos Ruiz</v>
      </c>
      <c r="D41" t="str">
        <f>PROPER(TRIM(Dataset_con_Errores!D41))</f>
        <v>Medellín</v>
      </c>
      <c r="E41" t="str">
        <f>IF(Dataset_con_Errores!E41="","Sin especificar",Dataset_con_Errores!E41)</f>
        <v>Sin especificar</v>
      </c>
      <c r="F41">
        <f>IF(Dataset_con_Errores!F41&lt;=0,1,Dataset_con_Errores!F41)</f>
        <v>2</v>
      </c>
      <c r="G41">
        <f>Dataset_con_Errores!G41</f>
        <v>1500</v>
      </c>
      <c r="H41">
        <f t="shared" si="0"/>
        <v>3000</v>
      </c>
      <c r="I41" t="str">
        <f>IF(H41=Dataset_con_Errores!H41,"OK","ERROR")</f>
        <v>OK</v>
      </c>
    </row>
    <row r="42" spans="1:9" x14ac:dyDescent="0.25">
      <c r="A42">
        <f>Dataset_con_Errores!A42</f>
        <v>41</v>
      </c>
      <c r="B42" s="5" t="str">
        <f>TEXT(Dataset_con_Errores!B42,"dd/mm/yyyy")</f>
        <v>05/03/2026</v>
      </c>
      <c r="C42" t="str">
        <f>IF(Dataset_con_Errores!C42="","Sin Cliente",PROPER(TRIM(Dataset_con_Errores!C42)))</f>
        <v>Maria Lopez</v>
      </c>
      <c r="D42" t="str">
        <f>PROPER(TRIM(Dataset_con_Errores!D42))</f>
        <v>Bogota</v>
      </c>
      <c r="E42" t="str">
        <f>IF(Dataset_con_Errores!E42="","Sin especificar",Dataset_con_Errores!E42)</f>
        <v>Sin especificar</v>
      </c>
      <c r="F42">
        <f>IF(Dataset_con_Errores!F42&lt;=0,1,Dataset_con_Errores!F42)</f>
        <v>2</v>
      </c>
      <c r="G42">
        <f>Dataset_con_Errores!G42</f>
        <v>50</v>
      </c>
      <c r="H42">
        <f t="shared" si="0"/>
        <v>100</v>
      </c>
      <c r="I42" t="str">
        <f>IF(H42=Dataset_con_Errores!H42,"OK","ERROR")</f>
        <v>OK</v>
      </c>
    </row>
    <row r="43" spans="1:9" hidden="1" x14ac:dyDescent="0.25">
      <c r="A43">
        <f>Dataset_con_Errores!A43</f>
        <v>42</v>
      </c>
      <c r="B43" s="5" t="str">
        <f>TEXT(Dataset_con_Errores!B43,"dd/mm/yyyy")</f>
        <v>08/03/2026</v>
      </c>
      <c r="C43" t="str">
        <f>IF(Dataset_con_Errores!C43="","Sin Cliente",PROPER(TRIM(Dataset_con_Errores!C43)))</f>
        <v>Carlos Ruiz</v>
      </c>
      <c r="D43" t="str">
        <f>PROPER(TRIM(Dataset_con_Errores!D43))</f>
        <v>Bogota</v>
      </c>
      <c r="E43" t="str">
        <f>IF(Dataset_con_Errores!E43="","Sin especificar",Dataset_con_Errores!E43)</f>
        <v>Laptop</v>
      </c>
      <c r="F43">
        <f>IF(Dataset_con_Errores!F43&lt;=0,1,Dataset_con_Errores!F43)</f>
        <v>1</v>
      </c>
      <c r="G43">
        <f>Dataset_con_Errores!G43</f>
        <v>80</v>
      </c>
      <c r="H43">
        <f t="shared" si="0"/>
        <v>80</v>
      </c>
      <c r="I43" t="str">
        <f>IF(H43=Dataset_con_Errores!H43,"OK","ERROR")</f>
        <v>ERROR</v>
      </c>
    </row>
    <row r="44" spans="1:9" hidden="1" x14ac:dyDescent="0.25">
      <c r="A44">
        <f>Dataset_con_Errores!A44</f>
        <v>43</v>
      </c>
      <c r="B44" s="5" t="str">
        <f>TEXT(Dataset_con_Errores!B44,"dd/mm/yyyy")</f>
        <v>13-Jan-26</v>
      </c>
      <c r="C44" t="str">
        <f>IF(Dataset_con_Errores!C44="","Sin Cliente",PROPER(TRIM(Dataset_con_Errores!C44)))</f>
        <v>Maria Lopez</v>
      </c>
      <c r="D44" t="str">
        <f>PROPER(TRIM(Dataset_con_Errores!D44))</f>
        <v>Bogota</v>
      </c>
      <c r="E44" t="str">
        <f>IF(Dataset_con_Errores!E44="","Sin especificar",Dataset_con_Errores!E44)</f>
        <v>Teclado</v>
      </c>
      <c r="F44">
        <f>IF(Dataset_con_Errores!F44&lt;=0,1,Dataset_con_Errores!F44)</f>
        <v>1</v>
      </c>
      <c r="G44">
        <f>Dataset_con_Errores!G44</f>
        <v>80</v>
      </c>
      <c r="H44">
        <f t="shared" si="0"/>
        <v>80</v>
      </c>
      <c r="I44" t="str">
        <f>IF(H44=Dataset_con_Errores!H44,"OK","ERROR")</f>
        <v>ERROR</v>
      </c>
    </row>
    <row r="45" spans="1:9" hidden="1" x14ac:dyDescent="0.25">
      <c r="A45">
        <f>Dataset_con_Errores!A45</f>
        <v>44</v>
      </c>
      <c r="B45" s="5" t="str">
        <f>TEXT(Dataset_con_Errores!B45,"dd/mm/yyyy")</f>
        <v>26/01/2026</v>
      </c>
      <c r="C45" t="str">
        <f>IF(Dataset_con_Errores!C45="","Sin Cliente",PROPER(TRIM(Dataset_con_Errores!C45)))</f>
        <v>Maria Lopez</v>
      </c>
      <c r="D45" t="str">
        <f>PROPER(TRIM(Dataset_con_Errores!D45))</f>
        <v>Medellin</v>
      </c>
      <c r="E45" t="str">
        <f>IF(Dataset_con_Errores!E45="","Sin especificar",Dataset_con_Errores!E45)</f>
        <v>Monitor</v>
      </c>
      <c r="F45">
        <f>IF(Dataset_con_Errores!F45&lt;=0,1,Dataset_con_Errores!F45)</f>
        <v>1</v>
      </c>
      <c r="G45">
        <f>Dataset_con_Errores!G45</f>
        <v>80</v>
      </c>
      <c r="H45">
        <f t="shared" si="0"/>
        <v>80</v>
      </c>
      <c r="I45" t="str">
        <f>IF(H45=Dataset_con_Errores!H45,"OK","ERROR")</f>
        <v>ERROR</v>
      </c>
    </row>
    <row r="46" spans="1:9" hidden="1" x14ac:dyDescent="0.25">
      <c r="A46">
        <f>Dataset_con_Errores!A46</f>
        <v>45</v>
      </c>
      <c r="B46" s="5" t="str">
        <f>TEXT(Dataset_con_Errores!B46,"dd/mm/yyyy")</f>
        <v>28/03/2026</v>
      </c>
      <c r="C46" t="str">
        <f>IF(Dataset_con_Errores!C46="","Sin Cliente",PROPER(TRIM(Dataset_con_Errores!C46)))</f>
        <v>Maria Lopez</v>
      </c>
      <c r="D46" t="str">
        <f>PROPER(TRIM(Dataset_con_Errores!D46))</f>
        <v>Medellín</v>
      </c>
      <c r="E46" t="str">
        <f>IF(Dataset_con_Errores!E46="","Sin especificar",Dataset_con_Errores!E46)</f>
        <v>Monitor</v>
      </c>
      <c r="F46">
        <f>IF(Dataset_con_Errores!F46&lt;=0,1,Dataset_con_Errores!F46)</f>
        <v>1</v>
      </c>
      <c r="G46">
        <f>Dataset_con_Errores!G46</f>
        <v>1500</v>
      </c>
      <c r="H46">
        <f t="shared" si="0"/>
        <v>1500</v>
      </c>
      <c r="I46" t="str">
        <f>IF(H46=Dataset_con_Errores!H46,"OK","ERROR")</f>
        <v>ERROR</v>
      </c>
    </row>
    <row r="47" spans="1:9" hidden="1" x14ac:dyDescent="0.25">
      <c r="A47">
        <f>Dataset_con_Errores!A47</f>
        <v>46</v>
      </c>
      <c r="B47" s="5" t="str">
        <f>TEXT(Dataset_con_Errores!B47,"dd/mm/yyyy")</f>
        <v>28/03/2026</v>
      </c>
      <c r="C47" t="str">
        <f>IF(Dataset_con_Errores!C47="","Sin Cliente",PROPER(TRIM(Dataset_con_Errores!C47)))</f>
        <v>Maria Lopez</v>
      </c>
      <c r="D47" t="str">
        <f>PROPER(TRIM(Dataset_con_Errores!D47))</f>
        <v>Bogotá</v>
      </c>
      <c r="E47" t="str">
        <f>IF(Dataset_con_Errores!E47="","Sin especificar",Dataset_con_Errores!E47)</f>
        <v>Teclado</v>
      </c>
      <c r="F47">
        <f>IF(Dataset_con_Errores!F47&lt;=0,1,Dataset_con_Errores!F47)</f>
        <v>2</v>
      </c>
      <c r="G47">
        <f>Dataset_con_Errores!G47</f>
        <v>700</v>
      </c>
      <c r="H47">
        <f t="shared" si="0"/>
        <v>1400</v>
      </c>
      <c r="I47" t="str">
        <f>IF(H47=Dataset_con_Errores!H47,"OK","ERROR")</f>
        <v>ERROR</v>
      </c>
    </row>
    <row r="48" spans="1:9" x14ac:dyDescent="0.25">
      <c r="A48">
        <f>Dataset_con_Errores!A48</f>
        <v>47</v>
      </c>
      <c r="B48" s="5" t="str">
        <f>TEXT(Dataset_con_Errores!B48,"dd/mm/yyyy")</f>
        <v>21/02/2026</v>
      </c>
      <c r="C48" t="str">
        <f>IF(Dataset_con_Errores!C48="","Sin Cliente",PROPER(TRIM(Dataset_con_Errores!C48)))</f>
        <v>Maria Lopez</v>
      </c>
      <c r="D48" t="str">
        <f>PROPER(TRIM(Dataset_con_Errores!D48))</f>
        <v>Bogota</v>
      </c>
      <c r="E48" t="str">
        <f>IF(Dataset_con_Errores!E48="","Sin especificar",Dataset_con_Errores!E48)</f>
        <v>Monitor</v>
      </c>
      <c r="F48">
        <f>IF(Dataset_con_Errores!F48&lt;=0,1,Dataset_con_Errores!F48)</f>
        <v>4</v>
      </c>
      <c r="G48">
        <f>Dataset_con_Errores!G48</f>
        <v>1500</v>
      </c>
      <c r="H48">
        <f t="shared" si="0"/>
        <v>6000</v>
      </c>
      <c r="I48" t="str">
        <f>IF(H48=Dataset_con_Errores!H48,"OK","ERROR")</f>
        <v>OK</v>
      </c>
    </row>
    <row r="49" spans="1:9" hidden="1" x14ac:dyDescent="0.25">
      <c r="A49">
        <f>Dataset_con_Errores!A49</f>
        <v>48</v>
      </c>
      <c r="B49" s="5" t="str">
        <f>TEXT(Dataset_con_Errores!B49,"dd/mm/yyyy")</f>
        <v>26/03/2026</v>
      </c>
      <c r="C49" t="str">
        <f>IF(Dataset_con_Errores!C49="","Sin Cliente",PROPER(TRIM(Dataset_con_Errores!C49)))</f>
        <v>Ana Torres</v>
      </c>
      <c r="D49" t="str">
        <f>PROPER(TRIM(Dataset_con_Errores!D49))</f>
        <v>Medellín</v>
      </c>
      <c r="E49" t="str">
        <f>IF(Dataset_con_Errores!E49="","Sin especificar",Dataset_con_Errores!E49)</f>
        <v>Sin especificar</v>
      </c>
      <c r="F49">
        <f>IF(Dataset_con_Errores!F49&lt;=0,1,Dataset_con_Errores!F49)</f>
        <v>1</v>
      </c>
      <c r="G49">
        <f>Dataset_con_Errores!G49</f>
        <v>50</v>
      </c>
      <c r="H49">
        <f t="shared" si="0"/>
        <v>50</v>
      </c>
      <c r="I49" t="str">
        <f>IF(H49=Dataset_con_Errores!H49,"OK","ERROR")</f>
        <v>ERROR</v>
      </c>
    </row>
    <row r="50" spans="1:9" hidden="1" x14ac:dyDescent="0.25">
      <c r="A50">
        <f>Dataset_con_Errores!A50</f>
        <v>49</v>
      </c>
      <c r="B50" s="5" t="str">
        <f>TEXT(Dataset_con_Errores!B50,"dd/mm/yyyy")</f>
        <v>23/02/2026</v>
      </c>
      <c r="C50" t="str">
        <f>IF(Dataset_con_Errores!C50="","Sin Cliente",PROPER(TRIM(Dataset_con_Errores!C50)))</f>
        <v>Maria Lopez</v>
      </c>
      <c r="D50" t="str">
        <f>PROPER(TRIM(Dataset_con_Errores!D50))</f>
        <v>Medellin</v>
      </c>
      <c r="E50" t="str">
        <f>IF(Dataset_con_Errores!E50="","Sin especificar",Dataset_con_Errores!E50)</f>
        <v>Teclado</v>
      </c>
      <c r="F50">
        <f>IF(Dataset_con_Errores!F50&lt;=0,1,Dataset_con_Errores!F50)</f>
        <v>1</v>
      </c>
      <c r="G50">
        <f>Dataset_con_Errores!G50</f>
        <v>1500</v>
      </c>
      <c r="H50">
        <f t="shared" si="0"/>
        <v>1500</v>
      </c>
      <c r="I50" t="str">
        <f>IF(H50=Dataset_con_Errores!H50,"OK","ERROR")</f>
        <v>ERROR</v>
      </c>
    </row>
    <row r="51" spans="1:9" hidden="1" x14ac:dyDescent="0.25">
      <c r="A51">
        <f>Dataset_con_Errores!A51</f>
        <v>50</v>
      </c>
      <c r="B51" s="5" t="str">
        <f>TEXT(Dataset_con_Errores!B51,"dd/mm/yyyy")</f>
        <v>07/01/2026</v>
      </c>
      <c r="C51" t="str">
        <f>IF(Dataset_con_Errores!C51="","Sin Cliente",PROPER(TRIM(Dataset_con_Errores!C51)))</f>
        <v>Sin Cliente</v>
      </c>
      <c r="D51" t="str">
        <f>PROPER(TRIM(Dataset_con_Errores!D51))</f>
        <v>Bogota</v>
      </c>
      <c r="E51" t="str">
        <f>IF(Dataset_con_Errores!E51="","Sin especificar",Dataset_con_Errores!E51)</f>
        <v>Sin especificar</v>
      </c>
      <c r="F51">
        <f>IF(Dataset_con_Errores!F51&lt;=0,1,Dataset_con_Errores!F51)</f>
        <v>2</v>
      </c>
      <c r="G51">
        <f>Dataset_con_Errores!G51</f>
        <v>1500</v>
      </c>
      <c r="H51">
        <f t="shared" si="0"/>
        <v>3000</v>
      </c>
      <c r="I51" t="str">
        <f>IF(H51=Dataset_con_Errores!H51,"OK","ERROR")</f>
        <v>ERROR</v>
      </c>
    </row>
    <row r="52" spans="1:9" hidden="1" x14ac:dyDescent="0.25">
      <c r="A52">
        <f>Dataset_con_Errores!A52</f>
        <v>51</v>
      </c>
      <c r="B52" s="5" t="str">
        <f>TEXT(Dataset_con_Errores!B52,"dd/mm/yyyy")</f>
        <v>30/01/2026</v>
      </c>
      <c r="C52" t="str">
        <f>IF(Dataset_con_Errores!C52="","Sin Cliente",PROPER(TRIM(Dataset_con_Errores!C52)))</f>
        <v>Ana Torres</v>
      </c>
      <c r="D52" t="str">
        <f>PROPER(TRIM(Dataset_con_Errores!D52))</f>
        <v>Bogota</v>
      </c>
      <c r="E52" t="str">
        <f>IF(Dataset_con_Errores!E52="","Sin especificar",Dataset_con_Errores!E52)</f>
        <v>Monitor</v>
      </c>
      <c r="F52">
        <f>IF(Dataset_con_Errores!F52&lt;=0,1,Dataset_con_Errores!F52)</f>
        <v>1</v>
      </c>
      <c r="G52">
        <f>Dataset_con_Errores!G52</f>
        <v>700</v>
      </c>
      <c r="H52">
        <f t="shared" si="0"/>
        <v>700</v>
      </c>
      <c r="I52" t="str">
        <f>IF(H52=Dataset_con_Errores!H52,"OK","ERROR")</f>
        <v>ERROR</v>
      </c>
    </row>
    <row r="53" spans="1:9" hidden="1" x14ac:dyDescent="0.25">
      <c r="A53">
        <f>Dataset_con_Errores!A53</f>
        <v>52</v>
      </c>
      <c r="B53" s="5" t="str">
        <f>TEXT(Dataset_con_Errores!B53,"dd/mm/yyyy")</f>
        <v>04/01/2026</v>
      </c>
      <c r="C53" t="str">
        <f>IF(Dataset_con_Errores!C53="","Sin Cliente",PROPER(TRIM(Dataset_con_Errores!C53)))</f>
        <v>Maria Lopez</v>
      </c>
      <c r="D53" t="str">
        <f>PROPER(TRIM(Dataset_con_Errores!D53))</f>
        <v>Medellín</v>
      </c>
      <c r="E53" t="str">
        <f>IF(Dataset_con_Errores!E53="","Sin especificar",Dataset_con_Errores!E53)</f>
        <v>Monitor</v>
      </c>
      <c r="F53">
        <f>IF(Dataset_con_Errores!F53&lt;=0,1,Dataset_con_Errores!F53)</f>
        <v>1</v>
      </c>
      <c r="G53">
        <f>Dataset_con_Errores!G53</f>
        <v>700</v>
      </c>
      <c r="H53">
        <f t="shared" si="0"/>
        <v>700</v>
      </c>
      <c r="I53" t="str">
        <f>IF(H53=Dataset_con_Errores!H53,"OK","ERROR")</f>
        <v>ERROR</v>
      </c>
    </row>
    <row r="54" spans="1:9" hidden="1" x14ac:dyDescent="0.25">
      <c r="A54">
        <f>Dataset_con_Errores!A54</f>
        <v>53</v>
      </c>
      <c r="B54" s="5" t="str">
        <f>TEXT(Dataset_con_Errores!B54,"dd/mm/yyyy")</f>
        <v>01/03/2026</v>
      </c>
      <c r="C54" t="str">
        <f>IF(Dataset_con_Errores!C54="","Sin Cliente",PROPER(TRIM(Dataset_con_Errores!C54)))</f>
        <v>Juan Perez</v>
      </c>
      <c r="D54" t="str">
        <f>PROPER(TRIM(Dataset_con_Errores!D54))</f>
        <v>Bogotá</v>
      </c>
      <c r="E54" t="str">
        <f>IF(Dataset_con_Errores!E54="","Sin especificar",Dataset_con_Errores!E54)</f>
        <v>Laptop</v>
      </c>
      <c r="F54">
        <f>IF(Dataset_con_Errores!F54&lt;=0,1,Dataset_con_Errores!F54)</f>
        <v>1</v>
      </c>
      <c r="G54">
        <f>Dataset_con_Errores!G54</f>
        <v>80</v>
      </c>
      <c r="H54">
        <f t="shared" si="0"/>
        <v>80</v>
      </c>
      <c r="I54" t="str">
        <f>IF(H54=Dataset_con_Errores!H54,"OK","ERROR")</f>
        <v>ERROR</v>
      </c>
    </row>
    <row r="55" spans="1:9" hidden="1" x14ac:dyDescent="0.25">
      <c r="A55">
        <f>Dataset_con_Errores!A55</f>
        <v>54</v>
      </c>
      <c r="B55" s="5" t="str">
        <f>TEXT(Dataset_con_Errores!B55,"dd/mm/yyyy")</f>
        <v>20/03/2026</v>
      </c>
      <c r="C55" t="str">
        <f>IF(Dataset_con_Errores!C55="","Sin Cliente",PROPER(TRIM(Dataset_con_Errores!C55)))</f>
        <v>Ana Torres</v>
      </c>
      <c r="D55" t="str">
        <f>PROPER(TRIM(Dataset_con_Errores!D55))</f>
        <v>Medellin</v>
      </c>
      <c r="E55" t="str">
        <f>IF(Dataset_con_Errores!E55="","Sin especificar",Dataset_con_Errores!E55)</f>
        <v>Teclado</v>
      </c>
      <c r="F55">
        <f>IF(Dataset_con_Errores!F55&lt;=0,1,Dataset_con_Errores!F55)</f>
        <v>1</v>
      </c>
      <c r="G55">
        <f>Dataset_con_Errores!G55</f>
        <v>50</v>
      </c>
      <c r="H55">
        <f t="shared" si="0"/>
        <v>50</v>
      </c>
      <c r="I55" t="str">
        <f>IF(H55=Dataset_con_Errores!H55,"OK","ERROR")</f>
        <v>ERROR</v>
      </c>
    </row>
    <row r="56" spans="1:9" hidden="1" x14ac:dyDescent="0.25">
      <c r="A56">
        <f>Dataset_con_Errores!A56</f>
        <v>55</v>
      </c>
      <c r="B56" s="5" t="str">
        <f>TEXT(Dataset_con_Errores!B56,"dd/mm/yyyy")</f>
        <v>23/03/2026</v>
      </c>
      <c r="C56" t="str">
        <f>IF(Dataset_con_Errores!C56="","Sin Cliente",PROPER(TRIM(Dataset_con_Errores!C56)))</f>
        <v>Ana Torres</v>
      </c>
      <c r="D56" t="str">
        <f>PROPER(TRIM(Dataset_con_Errores!D56))</f>
        <v>Medellin</v>
      </c>
      <c r="E56" t="str">
        <f>IF(Dataset_con_Errores!E56="","Sin especificar",Dataset_con_Errores!E56)</f>
        <v>Mouse</v>
      </c>
      <c r="F56">
        <f>IF(Dataset_con_Errores!F56&lt;=0,1,Dataset_con_Errores!F56)</f>
        <v>1</v>
      </c>
      <c r="G56">
        <f>Dataset_con_Errores!G56</f>
        <v>50</v>
      </c>
      <c r="H56">
        <f t="shared" si="0"/>
        <v>50</v>
      </c>
      <c r="I56" t="str">
        <f>IF(H56=Dataset_con_Errores!H56,"OK","ERROR")</f>
        <v>ERROR</v>
      </c>
    </row>
    <row r="57" spans="1:9" hidden="1" x14ac:dyDescent="0.25">
      <c r="A57">
        <f>Dataset_con_Errores!A57</f>
        <v>56</v>
      </c>
      <c r="B57" s="5" t="str">
        <f>TEXT(Dataset_con_Errores!B57,"dd/mm/yyyy")</f>
        <v>13/02/2026</v>
      </c>
      <c r="C57" t="str">
        <f>IF(Dataset_con_Errores!C57="","Sin Cliente",PROPER(TRIM(Dataset_con_Errores!C57)))</f>
        <v>Maria Lopez</v>
      </c>
      <c r="D57" t="str">
        <f>PROPER(TRIM(Dataset_con_Errores!D57))</f>
        <v>Bogotá</v>
      </c>
      <c r="E57" t="str">
        <f>IF(Dataset_con_Errores!E57="","Sin especificar",Dataset_con_Errores!E57)</f>
        <v>Sin especificar</v>
      </c>
      <c r="F57">
        <f>IF(Dataset_con_Errores!F57&lt;=0,1,Dataset_con_Errores!F57)</f>
        <v>1</v>
      </c>
      <c r="G57">
        <f>Dataset_con_Errores!G57</f>
        <v>80</v>
      </c>
      <c r="H57">
        <f t="shared" si="0"/>
        <v>80</v>
      </c>
      <c r="I57" t="str">
        <f>IF(H57=Dataset_con_Errores!H57,"OK","ERROR")</f>
        <v>ERROR</v>
      </c>
    </row>
    <row r="58" spans="1:9" hidden="1" x14ac:dyDescent="0.25">
      <c r="A58">
        <f>Dataset_con_Errores!A58</f>
        <v>57</v>
      </c>
      <c r="B58" s="5" t="str">
        <f>TEXT(Dataset_con_Errores!B58,"dd/mm/yyyy")</f>
        <v>04/02/2026</v>
      </c>
      <c r="C58" t="str">
        <f>IF(Dataset_con_Errores!C58="","Sin Cliente",PROPER(TRIM(Dataset_con_Errores!C58)))</f>
        <v>Juan Perez</v>
      </c>
      <c r="D58" t="str">
        <f>PROPER(TRIM(Dataset_con_Errores!D58))</f>
        <v>Medellín</v>
      </c>
      <c r="E58" t="str">
        <f>IF(Dataset_con_Errores!E58="","Sin especificar",Dataset_con_Errores!E58)</f>
        <v>Monitor</v>
      </c>
      <c r="F58">
        <f>IF(Dataset_con_Errores!F58&lt;=0,1,Dataset_con_Errores!F58)</f>
        <v>1</v>
      </c>
      <c r="G58">
        <f>Dataset_con_Errores!G58</f>
        <v>700</v>
      </c>
      <c r="H58">
        <f t="shared" si="0"/>
        <v>700</v>
      </c>
      <c r="I58" t="str">
        <f>IF(H58=Dataset_con_Errores!H58,"OK","ERROR")</f>
        <v>ERROR</v>
      </c>
    </row>
    <row r="59" spans="1:9" hidden="1" x14ac:dyDescent="0.25">
      <c r="A59">
        <f>Dataset_con_Errores!A59</f>
        <v>58</v>
      </c>
      <c r="B59" s="5" t="str">
        <f>TEXT(Dataset_con_Errores!B59,"dd/mm/yyyy")</f>
        <v>30/03/2026</v>
      </c>
      <c r="C59" t="str">
        <f>IF(Dataset_con_Errores!C59="","Sin Cliente",PROPER(TRIM(Dataset_con_Errores!C59)))</f>
        <v>Maria Lopez</v>
      </c>
      <c r="D59" t="str">
        <f>PROPER(TRIM(Dataset_con_Errores!D59))</f>
        <v>Bogotá</v>
      </c>
      <c r="E59" t="str">
        <f>IF(Dataset_con_Errores!E59="","Sin especificar",Dataset_con_Errores!E59)</f>
        <v>Mouse</v>
      </c>
      <c r="F59">
        <f>IF(Dataset_con_Errores!F59&lt;=0,1,Dataset_con_Errores!F59)</f>
        <v>1</v>
      </c>
      <c r="G59">
        <f>Dataset_con_Errores!G59</f>
        <v>50</v>
      </c>
      <c r="H59">
        <f t="shared" si="0"/>
        <v>50</v>
      </c>
      <c r="I59" t="str">
        <f>IF(H59=Dataset_con_Errores!H59,"OK","ERROR")</f>
        <v>ERROR</v>
      </c>
    </row>
    <row r="60" spans="1:9" hidden="1" x14ac:dyDescent="0.25">
      <c r="A60">
        <f>Dataset_con_Errores!A60</f>
        <v>59</v>
      </c>
      <c r="B60" s="5" t="str">
        <f>TEXT(Dataset_con_Errores!B60,"dd/mm/yyyy")</f>
        <v>06/03/2026</v>
      </c>
      <c r="C60" t="str">
        <f>IF(Dataset_con_Errores!C60="","Sin Cliente",PROPER(TRIM(Dataset_con_Errores!C60)))</f>
        <v>Sin Cliente</v>
      </c>
      <c r="D60" t="str">
        <f>PROPER(TRIM(Dataset_con_Errores!D60))</f>
        <v>Medellín</v>
      </c>
      <c r="E60" t="str">
        <f>IF(Dataset_con_Errores!E60="","Sin especificar",Dataset_con_Errores!E60)</f>
        <v>Sin especificar</v>
      </c>
      <c r="F60">
        <f>IF(Dataset_con_Errores!F60&lt;=0,1,Dataset_con_Errores!F60)</f>
        <v>1</v>
      </c>
      <c r="G60">
        <f>Dataset_con_Errores!G60</f>
        <v>700</v>
      </c>
      <c r="H60">
        <f t="shared" si="0"/>
        <v>700</v>
      </c>
      <c r="I60" t="str">
        <f>IF(H60=Dataset_con_Errores!H60,"OK","ERROR")</f>
        <v>ERROR</v>
      </c>
    </row>
    <row r="61" spans="1:9" hidden="1" x14ac:dyDescent="0.25">
      <c r="A61">
        <f>Dataset_con_Errores!A61</f>
        <v>60</v>
      </c>
      <c r="B61" s="5" t="str">
        <f>TEXT(Dataset_con_Errores!B61,"dd/mm/yyyy")</f>
        <v>07/03/2026</v>
      </c>
      <c r="C61" t="str">
        <f>IF(Dataset_con_Errores!C61="","Sin Cliente",PROPER(TRIM(Dataset_con_Errores!C61)))</f>
        <v>Sin Cliente</v>
      </c>
      <c r="D61" t="str">
        <f>PROPER(TRIM(Dataset_con_Errores!D61))</f>
        <v>Bogota</v>
      </c>
      <c r="E61" t="str">
        <f>IF(Dataset_con_Errores!E61="","Sin especificar",Dataset_con_Errores!E61)</f>
        <v>Teclado</v>
      </c>
      <c r="F61">
        <f>IF(Dataset_con_Errores!F61&lt;=0,1,Dataset_con_Errores!F61)</f>
        <v>1</v>
      </c>
      <c r="G61">
        <f>Dataset_con_Errores!G61</f>
        <v>80</v>
      </c>
      <c r="H61">
        <f t="shared" si="0"/>
        <v>80</v>
      </c>
      <c r="I61" t="str">
        <f>IF(H61=Dataset_con_Errores!H61,"OK","ERROR")</f>
        <v>ERROR</v>
      </c>
    </row>
    <row r="62" spans="1:9" hidden="1" x14ac:dyDescent="0.25">
      <c r="A62">
        <f>Dataset_con_Errores!A62</f>
        <v>61</v>
      </c>
      <c r="B62" s="5" t="str">
        <f>TEXT(Dataset_con_Errores!B62,"dd/mm/yyyy")</f>
        <v>11/01/2026</v>
      </c>
      <c r="C62" t="str">
        <f>IF(Dataset_con_Errores!C62="","Sin Cliente",PROPER(TRIM(Dataset_con_Errores!C62)))</f>
        <v>Ana Torres</v>
      </c>
      <c r="D62" t="str">
        <f>PROPER(TRIM(Dataset_con_Errores!D62))</f>
        <v>Medellin</v>
      </c>
      <c r="E62" t="str">
        <f>IF(Dataset_con_Errores!E62="","Sin especificar",Dataset_con_Errores!E62)</f>
        <v>Sin especificar</v>
      </c>
      <c r="F62">
        <f>IF(Dataset_con_Errores!F62&lt;=0,1,Dataset_con_Errores!F62)</f>
        <v>1</v>
      </c>
      <c r="G62">
        <f>Dataset_con_Errores!G62</f>
        <v>1500</v>
      </c>
      <c r="H62">
        <f t="shared" si="0"/>
        <v>1500</v>
      </c>
      <c r="I62" t="str">
        <f>IF(H62=Dataset_con_Errores!H62,"OK","ERROR")</f>
        <v>ERROR</v>
      </c>
    </row>
    <row r="63" spans="1:9" hidden="1" x14ac:dyDescent="0.25">
      <c r="A63">
        <f>Dataset_con_Errores!A63</f>
        <v>62</v>
      </c>
      <c r="B63" s="5" t="str">
        <f>TEXT(Dataset_con_Errores!B63,"dd/mm/yyyy")</f>
        <v>16/03/2026</v>
      </c>
      <c r="C63" t="str">
        <f>IF(Dataset_con_Errores!C63="","Sin Cliente",PROPER(TRIM(Dataset_con_Errores!C63)))</f>
        <v>Sin Cliente</v>
      </c>
      <c r="D63" t="str">
        <f>PROPER(TRIM(Dataset_con_Errores!D63))</f>
        <v>Bogota</v>
      </c>
      <c r="E63" t="str">
        <f>IF(Dataset_con_Errores!E63="","Sin especificar",Dataset_con_Errores!E63)</f>
        <v>Mouse</v>
      </c>
      <c r="F63">
        <f>IF(Dataset_con_Errores!F63&lt;=0,1,Dataset_con_Errores!F63)</f>
        <v>1</v>
      </c>
      <c r="G63">
        <f>Dataset_con_Errores!G63</f>
        <v>1500</v>
      </c>
      <c r="H63">
        <f t="shared" si="0"/>
        <v>1500</v>
      </c>
      <c r="I63" t="str">
        <f>IF(H63=Dataset_con_Errores!H63,"OK","ERROR")</f>
        <v>ERROR</v>
      </c>
    </row>
    <row r="64" spans="1:9" hidden="1" x14ac:dyDescent="0.25">
      <c r="A64">
        <f>Dataset_con_Errores!A64</f>
        <v>63</v>
      </c>
      <c r="B64" s="5" t="str">
        <f>TEXT(Dataset_con_Errores!B64,"dd/mm/yyyy")</f>
        <v>10/03/2026</v>
      </c>
      <c r="C64" t="str">
        <f>IF(Dataset_con_Errores!C64="","Sin Cliente",PROPER(TRIM(Dataset_con_Errores!C64)))</f>
        <v>Carlos Ruiz</v>
      </c>
      <c r="D64" t="str">
        <f>PROPER(TRIM(Dataset_con_Errores!D64))</f>
        <v>Medellín</v>
      </c>
      <c r="E64" t="str">
        <f>IF(Dataset_con_Errores!E64="","Sin especificar",Dataset_con_Errores!E64)</f>
        <v>Teclado</v>
      </c>
      <c r="F64">
        <f>IF(Dataset_con_Errores!F64&lt;=0,1,Dataset_con_Errores!F64)</f>
        <v>1</v>
      </c>
      <c r="G64">
        <f>Dataset_con_Errores!G64</f>
        <v>700</v>
      </c>
      <c r="H64">
        <f t="shared" si="0"/>
        <v>700</v>
      </c>
      <c r="I64" t="str">
        <f>IF(H64=Dataset_con_Errores!H64,"OK","ERROR")</f>
        <v>ERROR</v>
      </c>
    </row>
    <row r="65" spans="1:9" hidden="1" x14ac:dyDescent="0.25">
      <c r="A65">
        <f>Dataset_con_Errores!A65</f>
        <v>64</v>
      </c>
      <c r="B65" s="5" t="str">
        <f>TEXT(Dataset_con_Errores!B65,"dd/mm/yyyy")</f>
        <v>22/03/2026</v>
      </c>
      <c r="C65" t="str">
        <f>IF(Dataset_con_Errores!C65="","Sin Cliente",PROPER(TRIM(Dataset_con_Errores!C65)))</f>
        <v>Maria Lopez</v>
      </c>
      <c r="D65" t="str">
        <f>PROPER(TRIM(Dataset_con_Errores!D65))</f>
        <v>Medellin</v>
      </c>
      <c r="E65" t="str">
        <f>IF(Dataset_con_Errores!E65="","Sin especificar",Dataset_con_Errores!E65)</f>
        <v>Mouse</v>
      </c>
      <c r="F65">
        <f>IF(Dataset_con_Errores!F65&lt;=0,1,Dataset_con_Errores!F65)</f>
        <v>1</v>
      </c>
      <c r="G65">
        <f>Dataset_con_Errores!G65</f>
        <v>1500</v>
      </c>
      <c r="H65">
        <f t="shared" si="0"/>
        <v>1500</v>
      </c>
      <c r="I65" t="str">
        <f>IF(H65=Dataset_con_Errores!H65,"OK","ERROR")</f>
        <v>ERROR</v>
      </c>
    </row>
    <row r="66" spans="1:9" hidden="1" x14ac:dyDescent="0.25">
      <c r="A66">
        <f>Dataset_con_Errores!A66</f>
        <v>65</v>
      </c>
      <c r="B66" s="5" t="str">
        <f>TEXT(Dataset_con_Errores!B66,"dd/mm/yyyy")</f>
        <v>15/02/2026</v>
      </c>
      <c r="C66" t="str">
        <f>IF(Dataset_con_Errores!C66="","Sin Cliente",PROPER(TRIM(Dataset_con_Errores!C66)))</f>
        <v>Ana Torres</v>
      </c>
      <c r="D66" t="str">
        <f>PROPER(TRIM(Dataset_con_Errores!D66))</f>
        <v>Medellin</v>
      </c>
      <c r="E66" t="str">
        <f>IF(Dataset_con_Errores!E66="","Sin especificar",Dataset_con_Errores!E66)</f>
        <v>Laptop</v>
      </c>
      <c r="F66">
        <f>IF(Dataset_con_Errores!F66&lt;=0,1,Dataset_con_Errores!F66)</f>
        <v>1</v>
      </c>
      <c r="G66">
        <f>Dataset_con_Errores!G66</f>
        <v>50</v>
      </c>
      <c r="H66">
        <f t="shared" ref="H66:H129" si="1">F66*G66</f>
        <v>50</v>
      </c>
      <c r="I66" t="str">
        <f>IF(H66=Dataset_con_Errores!H66,"OK","ERROR")</f>
        <v>ERROR</v>
      </c>
    </row>
    <row r="67" spans="1:9" hidden="1" x14ac:dyDescent="0.25">
      <c r="A67">
        <f>Dataset_con_Errores!A67</f>
        <v>66</v>
      </c>
      <c r="B67" s="5" t="str">
        <f>TEXT(Dataset_con_Errores!B67,"dd/mm/yyyy")</f>
        <v>15/03/2026</v>
      </c>
      <c r="C67" t="str">
        <f>IF(Dataset_con_Errores!C67="","Sin Cliente",PROPER(TRIM(Dataset_con_Errores!C67)))</f>
        <v>Maria Lopez</v>
      </c>
      <c r="D67" t="str">
        <f>PROPER(TRIM(Dataset_con_Errores!D67))</f>
        <v>Medellín</v>
      </c>
      <c r="E67" t="str">
        <f>IF(Dataset_con_Errores!E67="","Sin especificar",Dataset_con_Errores!E67)</f>
        <v>Teclado</v>
      </c>
      <c r="F67">
        <f>IF(Dataset_con_Errores!F67&lt;=0,1,Dataset_con_Errores!F67)</f>
        <v>1</v>
      </c>
      <c r="G67">
        <f>Dataset_con_Errores!G67</f>
        <v>1500</v>
      </c>
      <c r="H67">
        <f t="shared" si="1"/>
        <v>1500</v>
      </c>
      <c r="I67" t="str">
        <f>IF(H67=Dataset_con_Errores!H67,"OK","ERROR")</f>
        <v>ERROR</v>
      </c>
    </row>
    <row r="68" spans="1:9" hidden="1" x14ac:dyDescent="0.25">
      <c r="A68">
        <f>Dataset_con_Errores!A68</f>
        <v>67</v>
      </c>
      <c r="B68" s="5" t="str">
        <f>TEXT(Dataset_con_Errores!B68,"dd/mm/yyyy")</f>
        <v>12-Jan-26</v>
      </c>
      <c r="C68" t="str">
        <f>IF(Dataset_con_Errores!C68="","Sin Cliente",PROPER(TRIM(Dataset_con_Errores!C68)))</f>
        <v>Ana Torres</v>
      </c>
      <c r="D68" t="str">
        <f>PROPER(TRIM(Dataset_con_Errores!D68))</f>
        <v>Bogotá</v>
      </c>
      <c r="E68" t="str">
        <f>IF(Dataset_con_Errores!E68="","Sin especificar",Dataset_con_Errores!E68)</f>
        <v>Sin especificar</v>
      </c>
      <c r="F68">
        <f>IF(Dataset_con_Errores!F68&lt;=0,1,Dataset_con_Errores!F68)</f>
        <v>1</v>
      </c>
      <c r="G68">
        <f>Dataset_con_Errores!G68</f>
        <v>50</v>
      </c>
      <c r="H68">
        <f t="shared" si="1"/>
        <v>50</v>
      </c>
      <c r="I68" t="str">
        <f>IF(H68=Dataset_con_Errores!H68,"OK","ERROR")</f>
        <v>ERROR</v>
      </c>
    </row>
    <row r="69" spans="1:9" hidden="1" x14ac:dyDescent="0.25">
      <c r="A69">
        <f>Dataset_con_Errores!A69</f>
        <v>68</v>
      </c>
      <c r="B69" s="5" t="str">
        <f>TEXT(Dataset_con_Errores!B69,"dd/mm/yyyy")</f>
        <v>22/02/2026</v>
      </c>
      <c r="C69" t="str">
        <f>IF(Dataset_con_Errores!C69="","Sin Cliente",PROPER(TRIM(Dataset_con_Errores!C69)))</f>
        <v>Sin Cliente</v>
      </c>
      <c r="D69" t="str">
        <f>PROPER(TRIM(Dataset_con_Errores!D69))</f>
        <v>Medellín</v>
      </c>
      <c r="E69" t="str">
        <f>IF(Dataset_con_Errores!E69="","Sin especificar",Dataset_con_Errores!E69)</f>
        <v>Mouse</v>
      </c>
      <c r="F69">
        <f>IF(Dataset_con_Errores!F69&lt;=0,1,Dataset_con_Errores!F69)</f>
        <v>1</v>
      </c>
      <c r="G69">
        <f>Dataset_con_Errores!G69</f>
        <v>80</v>
      </c>
      <c r="H69">
        <f t="shared" si="1"/>
        <v>80</v>
      </c>
      <c r="I69" t="str">
        <f>IF(H69=Dataset_con_Errores!H69,"OK","ERROR")</f>
        <v>ERROR</v>
      </c>
    </row>
    <row r="70" spans="1:9" x14ac:dyDescent="0.25">
      <c r="A70">
        <f>Dataset_con_Errores!A70</f>
        <v>69</v>
      </c>
      <c r="B70" s="5" t="str">
        <f>TEXT(Dataset_con_Errores!B70,"dd/mm/yyyy")</f>
        <v>26/03/2026</v>
      </c>
      <c r="C70" t="str">
        <f>IF(Dataset_con_Errores!C70="","Sin Cliente",PROPER(TRIM(Dataset_con_Errores!C70)))</f>
        <v>Maria Lopez</v>
      </c>
      <c r="D70" t="str">
        <f>PROPER(TRIM(Dataset_con_Errores!D70))</f>
        <v>Bogota</v>
      </c>
      <c r="E70" t="str">
        <f>IF(Dataset_con_Errores!E70="","Sin especificar",Dataset_con_Errores!E70)</f>
        <v>Monitor</v>
      </c>
      <c r="F70">
        <f>IF(Dataset_con_Errores!F70&lt;=0,1,Dataset_con_Errores!F70)</f>
        <v>2</v>
      </c>
      <c r="G70">
        <f>Dataset_con_Errores!G70</f>
        <v>1500</v>
      </c>
      <c r="H70">
        <f t="shared" si="1"/>
        <v>3000</v>
      </c>
      <c r="I70" t="str">
        <f>IF(H70=Dataset_con_Errores!H70,"OK","ERROR")</f>
        <v>OK</v>
      </c>
    </row>
    <row r="71" spans="1:9" hidden="1" x14ac:dyDescent="0.25">
      <c r="A71">
        <f>Dataset_con_Errores!A71</f>
        <v>70</v>
      </c>
      <c r="B71" s="5" t="str">
        <f>TEXT(Dataset_con_Errores!B71,"dd/mm/yyyy")</f>
        <v>05-Jan-26</v>
      </c>
      <c r="C71" t="str">
        <f>IF(Dataset_con_Errores!C71="","Sin Cliente",PROPER(TRIM(Dataset_con_Errores!C71)))</f>
        <v>Ana Torres</v>
      </c>
      <c r="D71" t="str">
        <f>PROPER(TRIM(Dataset_con_Errores!D71))</f>
        <v>Medellin</v>
      </c>
      <c r="E71" t="str">
        <f>IF(Dataset_con_Errores!E71="","Sin especificar",Dataset_con_Errores!E71)</f>
        <v>Sin especificar</v>
      </c>
      <c r="F71">
        <f>IF(Dataset_con_Errores!F71&lt;=0,1,Dataset_con_Errores!F71)</f>
        <v>1</v>
      </c>
      <c r="G71">
        <f>Dataset_con_Errores!G71</f>
        <v>50</v>
      </c>
      <c r="H71">
        <f t="shared" si="1"/>
        <v>50</v>
      </c>
      <c r="I71" t="str">
        <f>IF(H71=Dataset_con_Errores!H71,"OK","ERROR")</f>
        <v>ERROR</v>
      </c>
    </row>
    <row r="72" spans="1:9" hidden="1" x14ac:dyDescent="0.25">
      <c r="A72">
        <f>Dataset_con_Errores!A72</f>
        <v>71</v>
      </c>
      <c r="B72" s="5" t="str">
        <f>TEXT(Dataset_con_Errores!B72,"dd/mm/yyyy")</f>
        <v>05/02/2026</v>
      </c>
      <c r="C72" t="str">
        <f>IF(Dataset_con_Errores!C72="","Sin Cliente",PROPER(TRIM(Dataset_con_Errores!C72)))</f>
        <v>Sin Cliente</v>
      </c>
      <c r="D72" t="str">
        <f>PROPER(TRIM(Dataset_con_Errores!D72))</f>
        <v>Bogotá</v>
      </c>
      <c r="E72" t="str">
        <f>IF(Dataset_con_Errores!E72="","Sin especificar",Dataset_con_Errores!E72)</f>
        <v>Monitor</v>
      </c>
      <c r="F72">
        <f>IF(Dataset_con_Errores!F72&lt;=0,1,Dataset_con_Errores!F72)</f>
        <v>1</v>
      </c>
      <c r="G72">
        <f>Dataset_con_Errores!G72</f>
        <v>50</v>
      </c>
      <c r="H72">
        <f t="shared" si="1"/>
        <v>50</v>
      </c>
      <c r="I72" t="str">
        <f>IF(H72=Dataset_con_Errores!H72,"OK","ERROR")</f>
        <v>ERROR</v>
      </c>
    </row>
    <row r="73" spans="1:9" hidden="1" x14ac:dyDescent="0.25">
      <c r="A73">
        <f>Dataset_con_Errores!A73</f>
        <v>72</v>
      </c>
      <c r="B73" s="5" t="str">
        <f>TEXT(Dataset_con_Errores!B73,"dd/mm/yyyy")</f>
        <v>24/03/2026</v>
      </c>
      <c r="C73" t="str">
        <f>IF(Dataset_con_Errores!C73="","Sin Cliente",PROPER(TRIM(Dataset_con_Errores!C73)))</f>
        <v>Sin Cliente</v>
      </c>
      <c r="D73" t="str">
        <f>PROPER(TRIM(Dataset_con_Errores!D73))</f>
        <v>Bogotá</v>
      </c>
      <c r="E73" t="str">
        <f>IF(Dataset_con_Errores!E73="","Sin especificar",Dataset_con_Errores!E73)</f>
        <v>Sin especificar</v>
      </c>
      <c r="F73">
        <f>IF(Dataset_con_Errores!F73&lt;=0,1,Dataset_con_Errores!F73)</f>
        <v>1</v>
      </c>
      <c r="G73">
        <f>Dataset_con_Errores!G73</f>
        <v>80</v>
      </c>
      <c r="H73">
        <f t="shared" si="1"/>
        <v>80</v>
      </c>
      <c r="I73" t="str">
        <f>IF(H73=Dataset_con_Errores!H73,"OK","ERROR")</f>
        <v>ERROR</v>
      </c>
    </row>
    <row r="74" spans="1:9" x14ac:dyDescent="0.25">
      <c r="A74">
        <f>Dataset_con_Errores!A74</f>
        <v>73</v>
      </c>
      <c r="B74" s="5" t="str">
        <f>TEXT(Dataset_con_Errores!B74,"dd/mm/yyyy")</f>
        <v>19/02/2026</v>
      </c>
      <c r="C74" t="str">
        <f>IF(Dataset_con_Errores!C74="","Sin Cliente",PROPER(TRIM(Dataset_con_Errores!C74)))</f>
        <v>Carlos Ruiz</v>
      </c>
      <c r="D74" t="str">
        <f>PROPER(TRIM(Dataset_con_Errores!D74))</f>
        <v>Medellín</v>
      </c>
      <c r="E74" t="str">
        <f>IF(Dataset_con_Errores!E74="","Sin especificar",Dataset_con_Errores!E74)</f>
        <v>Teclado</v>
      </c>
      <c r="F74">
        <f>IF(Dataset_con_Errores!F74&lt;=0,1,Dataset_con_Errores!F74)</f>
        <v>5</v>
      </c>
      <c r="G74">
        <f>Dataset_con_Errores!G74</f>
        <v>1500</v>
      </c>
      <c r="H74">
        <f t="shared" si="1"/>
        <v>7500</v>
      </c>
      <c r="I74" t="str">
        <f>IF(H74=Dataset_con_Errores!H74,"OK","ERROR")</f>
        <v>OK</v>
      </c>
    </row>
    <row r="75" spans="1:9" hidden="1" x14ac:dyDescent="0.25">
      <c r="A75">
        <f>Dataset_con_Errores!A75</f>
        <v>74</v>
      </c>
      <c r="B75" s="5" t="str">
        <f>TEXT(Dataset_con_Errores!B75,"dd/mm/yyyy")</f>
        <v>03/02/2026</v>
      </c>
      <c r="C75" t="str">
        <f>IF(Dataset_con_Errores!C75="","Sin Cliente",PROPER(TRIM(Dataset_con_Errores!C75)))</f>
        <v>Juan Perez</v>
      </c>
      <c r="D75" t="str">
        <f>PROPER(TRIM(Dataset_con_Errores!D75))</f>
        <v>Bogotá</v>
      </c>
      <c r="E75" t="str">
        <f>IF(Dataset_con_Errores!E75="","Sin especificar",Dataset_con_Errores!E75)</f>
        <v>Teclado</v>
      </c>
      <c r="F75">
        <f>IF(Dataset_con_Errores!F75&lt;=0,1,Dataset_con_Errores!F75)</f>
        <v>1</v>
      </c>
      <c r="G75">
        <f>Dataset_con_Errores!G75</f>
        <v>700</v>
      </c>
      <c r="H75">
        <f t="shared" si="1"/>
        <v>700</v>
      </c>
      <c r="I75" t="str">
        <f>IF(H75=Dataset_con_Errores!H75,"OK","ERROR")</f>
        <v>ERROR</v>
      </c>
    </row>
    <row r="76" spans="1:9" hidden="1" x14ac:dyDescent="0.25">
      <c r="A76">
        <f>Dataset_con_Errores!A76</f>
        <v>75</v>
      </c>
      <c r="B76" s="5" t="str">
        <f>TEXT(Dataset_con_Errores!B76,"dd/mm/yyyy")</f>
        <v>19/03/2026</v>
      </c>
      <c r="C76" t="str">
        <f>IF(Dataset_con_Errores!C76="","Sin Cliente",PROPER(TRIM(Dataset_con_Errores!C76)))</f>
        <v>Sin Cliente</v>
      </c>
      <c r="D76" t="str">
        <f>PROPER(TRIM(Dataset_con_Errores!D76))</f>
        <v>Bogota</v>
      </c>
      <c r="E76" t="str">
        <f>IF(Dataset_con_Errores!E76="","Sin especificar",Dataset_con_Errores!E76)</f>
        <v>Laptop</v>
      </c>
      <c r="F76">
        <f>IF(Dataset_con_Errores!F76&lt;=0,1,Dataset_con_Errores!F76)</f>
        <v>1</v>
      </c>
      <c r="G76">
        <f>Dataset_con_Errores!G76</f>
        <v>80</v>
      </c>
      <c r="H76">
        <f t="shared" si="1"/>
        <v>80</v>
      </c>
      <c r="I76" t="str">
        <f>IF(H76=Dataset_con_Errores!H76,"OK","ERROR")</f>
        <v>ERROR</v>
      </c>
    </row>
    <row r="77" spans="1:9" hidden="1" x14ac:dyDescent="0.25">
      <c r="A77">
        <f>Dataset_con_Errores!A77</f>
        <v>76</v>
      </c>
      <c r="B77" s="5" t="str">
        <f>TEXT(Dataset_con_Errores!B77,"dd/mm/yyyy")</f>
        <v>06/02/2026</v>
      </c>
      <c r="C77" t="str">
        <f>IF(Dataset_con_Errores!C77="","Sin Cliente",PROPER(TRIM(Dataset_con_Errores!C77)))</f>
        <v>Juan Perez</v>
      </c>
      <c r="D77" t="str">
        <f>PROPER(TRIM(Dataset_con_Errores!D77))</f>
        <v>Bogotá</v>
      </c>
      <c r="E77" t="str">
        <f>IF(Dataset_con_Errores!E77="","Sin especificar",Dataset_con_Errores!E77)</f>
        <v>Teclado</v>
      </c>
      <c r="F77">
        <f>IF(Dataset_con_Errores!F77&lt;=0,1,Dataset_con_Errores!F77)</f>
        <v>1</v>
      </c>
      <c r="G77">
        <f>Dataset_con_Errores!G77</f>
        <v>700</v>
      </c>
      <c r="H77">
        <f t="shared" si="1"/>
        <v>700</v>
      </c>
      <c r="I77" t="str">
        <f>IF(H77=Dataset_con_Errores!H77,"OK","ERROR")</f>
        <v>ERROR</v>
      </c>
    </row>
    <row r="78" spans="1:9" hidden="1" x14ac:dyDescent="0.25">
      <c r="A78">
        <f>Dataset_con_Errores!A78</f>
        <v>77</v>
      </c>
      <c r="B78" s="5" t="str">
        <f>TEXT(Dataset_con_Errores!B78,"dd/mm/yyyy")</f>
        <v>15/02/2026</v>
      </c>
      <c r="C78" t="str">
        <f>IF(Dataset_con_Errores!C78="","Sin Cliente",PROPER(TRIM(Dataset_con_Errores!C78)))</f>
        <v>Juan Perez</v>
      </c>
      <c r="D78" t="str">
        <f>PROPER(TRIM(Dataset_con_Errores!D78))</f>
        <v>Bogotá</v>
      </c>
      <c r="E78" t="str">
        <f>IF(Dataset_con_Errores!E78="","Sin especificar",Dataset_con_Errores!E78)</f>
        <v>Sin especificar</v>
      </c>
      <c r="F78">
        <f>IF(Dataset_con_Errores!F78&lt;=0,1,Dataset_con_Errores!F78)</f>
        <v>1</v>
      </c>
      <c r="G78">
        <f>Dataset_con_Errores!G78</f>
        <v>1500</v>
      </c>
      <c r="H78">
        <f t="shared" si="1"/>
        <v>1500</v>
      </c>
      <c r="I78" t="str">
        <f>IF(H78=Dataset_con_Errores!H78,"OK","ERROR")</f>
        <v>ERROR</v>
      </c>
    </row>
    <row r="79" spans="1:9" hidden="1" x14ac:dyDescent="0.25">
      <c r="A79">
        <f>Dataset_con_Errores!A79</f>
        <v>78</v>
      </c>
      <c r="B79" s="5" t="str">
        <f>TEXT(Dataset_con_Errores!B79,"dd/mm/yyyy")</f>
        <v>23/02/2026</v>
      </c>
      <c r="C79" t="str">
        <f>IF(Dataset_con_Errores!C79="","Sin Cliente",PROPER(TRIM(Dataset_con_Errores!C79)))</f>
        <v>Sin Cliente</v>
      </c>
      <c r="D79" t="str">
        <f>PROPER(TRIM(Dataset_con_Errores!D79))</f>
        <v>Medellín</v>
      </c>
      <c r="E79" t="str">
        <f>IF(Dataset_con_Errores!E79="","Sin especificar",Dataset_con_Errores!E79)</f>
        <v>Mouse</v>
      </c>
      <c r="F79">
        <f>IF(Dataset_con_Errores!F79&lt;=0,1,Dataset_con_Errores!F79)</f>
        <v>1</v>
      </c>
      <c r="G79">
        <f>Dataset_con_Errores!G79</f>
        <v>50</v>
      </c>
      <c r="H79">
        <f t="shared" si="1"/>
        <v>50</v>
      </c>
      <c r="I79" t="str">
        <f>IF(H79=Dataset_con_Errores!H79,"OK","ERROR")</f>
        <v>ERROR</v>
      </c>
    </row>
    <row r="80" spans="1:9" hidden="1" x14ac:dyDescent="0.25">
      <c r="A80">
        <f>Dataset_con_Errores!A80</f>
        <v>79</v>
      </c>
      <c r="B80" s="5" t="str">
        <f>TEXT(Dataset_con_Errores!B80,"dd/mm/yyyy")</f>
        <v>17/02/2026</v>
      </c>
      <c r="C80" t="str">
        <f>IF(Dataset_con_Errores!C80="","Sin Cliente",PROPER(TRIM(Dataset_con_Errores!C80)))</f>
        <v>Juan Perez</v>
      </c>
      <c r="D80" t="str">
        <f>PROPER(TRIM(Dataset_con_Errores!D80))</f>
        <v>Bogotá</v>
      </c>
      <c r="E80" t="str">
        <f>IF(Dataset_con_Errores!E80="","Sin especificar",Dataset_con_Errores!E80)</f>
        <v>Teclado</v>
      </c>
      <c r="F80">
        <f>IF(Dataset_con_Errores!F80&lt;=0,1,Dataset_con_Errores!F80)</f>
        <v>2</v>
      </c>
      <c r="G80">
        <f>Dataset_con_Errores!G80</f>
        <v>1500</v>
      </c>
      <c r="H80">
        <f t="shared" si="1"/>
        <v>3000</v>
      </c>
      <c r="I80" t="str">
        <f>IF(H80=Dataset_con_Errores!H80,"OK","ERROR")</f>
        <v>ERROR</v>
      </c>
    </row>
    <row r="81" spans="1:9" hidden="1" x14ac:dyDescent="0.25">
      <c r="A81">
        <f>Dataset_con_Errores!A81</f>
        <v>80</v>
      </c>
      <c r="B81" s="5" t="str">
        <f>TEXT(Dataset_con_Errores!B81,"dd/mm/yyyy")</f>
        <v>26/01/2026</v>
      </c>
      <c r="C81" t="str">
        <f>IF(Dataset_con_Errores!C81="","Sin Cliente",PROPER(TRIM(Dataset_con_Errores!C81)))</f>
        <v>Maria Lopez</v>
      </c>
      <c r="D81" t="str">
        <f>PROPER(TRIM(Dataset_con_Errores!D81))</f>
        <v>Medellin</v>
      </c>
      <c r="E81" t="str">
        <f>IF(Dataset_con_Errores!E81="","Sin especificar",Dataset_con_Errores!E81)</f>
        <v>Monitor</v>
      </c>
      <c r="F81">
        <f>IF(Dataset_con_Errores!F81&lt;=0,1,Dataset_con_Errores!F81)</f>
        <v>1</v>
      </c>
      <c r="G81">
        <f>Dataset_con_Errores!G81</f>
        <v>700</v>
      </c>
      <c r="H81">
        <f t="shared" si="1"/>
        <v>700</v>
      </c>
      <c r="I81" t="str">
        <f>IF(H81=Dataset_con_Errores!H81,"OK","ERROR")</f>
        <v>ERROR</v>
      </c>
    </row>
    <row r="82" spans="1:9" x14ac:dyDescent="0.25">
      <c r="A82">
        <f>Dataset_con_Errores!A82</f>
        <v>81</v>
      </c>
      <c r="B82" s="5" t="str">
        <f>TEXT(Dataset_con_Errores!B82,"dd/mm/yyyy")</f>
        <v>22/01/2026</v>
      </c>
      <c r="C82" t="str">
        <f>IF(Dataset_con_Errores!C82="","Sin Cliente",PROPER(TRIM(Dataset_con_Errores!C82)))</f>
        <v>Ana Torres</v>
      </c>
      <c r="D82" t="str">
        <f>PROPER(TRIM(Dataset_con_Errores!D82))</f>
        <v>Medellin</v>
      </c>
      <c r="E82" t="str">
        <f>IF(Dataset_con_Errores!E82="","Sin especificar",Dataset_con_Errores!E82)</f>
        <v>Sin especificar</v>
      </c>
      <c r="F82">
        <f>IF(Dataset_con_Errores!F82&lt;=0,1,Dataset_con_Errores!F82)</f>
        <v>5</v>
      </c>
      <c r="G82">
        <f>Dataset_con_Errores!G82</f>
        <v>700</v>
      </c>
      <c r="H82">
        <f t="shared" si="1"/>
        <v>3500</v>
      </c>
      <c r="I82" t="str">
        <f>IF(H82=Dataset_con_Errores!H82,"OK","ERROR")</f>
        <v>OK</v>
      </c>
    </row>
    <row r="83" spans="1:9" hidden="1" x14ac:dyDescent="0.25">
      <c r="A83">
        <f>Dataset_con_Errores!A83</f>
        <v>82</v>
      </c>
      <c r="B83" s="5" t="str">
        <f>TEXT(Dataset_con_Errores!B83,"dd/mm/yyyy")</f>
        <v>06/03/2026</v>
      </c>
      <c r="C83" t="str">
        <f>IF(Dataset_con_Errores!C83="","Sin Cliente",PROPER(TRIM(Dataset_con_Errores!C83)))</f>
        <v>Ana Torres</v>
      </c>
      <c r="D83" t="str">
        <f>PROPER(TRIM(Dataset_con_Errores!D83))</f>
        <v>Bogotá</v>
      </c>
      <c r="E83" t="str">
        <f>IF(Dataset_con_Errores!E83="","Sin especificar",Dataset_con_Errores!E83)</f>
        <v>Laptop</v>
      </c>
      <c r="F83">
        <f>IF(Dataset_con_Errores!F83&lt;=0,1,Dataset_con_Errores!F83)</f>
        <v>1</v>
      </c>
      <c r="G83">
        <f>Dataset_con_Errores!G83</f>
        <v>1500</v>
      </c>
      <c r="H83">
        <f t="shared" si="1"/>
        <v>1500</v>
      </c>
      <c r="I83" t="str">
        <f>IF(H83=Dataset_con_Errores!H83,"OK","ERROR")</f>
        <v>ERROR</v>
      </c>
    </row>
    <row r="84" spans="1:9" hidden="1" x14ac:dyDescent="0.25">
      <c r="A84">
        <f>Dataset_con_Errores!A84</f>
        <v>83</v>
      </c>
      <c r="B84" s="5" t="str">
        <f>TEXT(Dataset_con_Errores!B84,"dd/mm/yyyy")</f>
        <v>15/03/2026</v>
      </c>
      <c r="C84" t="str">
        <f>IF(Dataset_con_Errores!C84="","Sin Cliente",PROPER(TRIM(Dataset_con_Errores!C84)))</f>
        <v>Maria Lopez</v>
      </c>
      <c r="D84" t="str">
        <f>PROPER(TRIM(Dataset_con_Errores!D84))</f>
        <v>Medellin</v>
      </c>
      <c r="E84" t="str">
        <f>IF(Dataset_con_Errores!E84="","Sin especificar",Dataset_con_Errores!E84)</f>
        <v>Mouse</v>
      </c>
      <c r="F84">
        <f>IF(Dataset_con_Errores!F84&lt;=0,1,Dataset_con_Errores!F84)</f>
        <v>1</v>
      </c>
      <c r="G84">
        <f>Dataset_con_Errores!G84</f>
        <v>1500</v>
      </c>
      <c r="H84">
        <f t="shared" si="1"/>
        <v>1500</v>
      </c>
      <c r="I84" t="str">
        <f>IF(H84=Dataset_con_Errores!H84,"OK","ERROR")</f>
        <v>ERROR</v>
      </c>
    </row>
    <row r="85" spans="1:9" hidden="1" x14ac:dyDescent="0.25">
      <c r="A85">
        <f>Dataset_con_Errores!A85</f>
        <v>84</v>
      </c>
      <c r="B85" s="5" t="str">
        <f>TEXT(Dataset_con_Errores!B85,"dd/mm/yyyy")</f>
        <v>04/03/2026</v>
      </c>
      <c r="C85" t="str">
        <f>IF(Dataset_con_Errores!C85="","Sin Cliente",PROPER(TRIM(Dataset_con_Errores!C85)))</f>
        <v>Ana Torres</v>
      </c>
      <c r="D85" t="str">
        <f>PROPER(TRIM(Dataset_con_Errores!D85))</f>
        <v>Bogotá</v>
      </c>
      <c r="E85" t="str">
        <f>IF(Dataset_con_Errores!E85="","Sin especificar",Dataset_con_Errores!E85)</f>
        <v>Monitor</v>
      </c>
      <c r="F85">
        <f>IF(Dataset_con_Errores!F85&lt;=0,1,Dataset_con_Errores!F85)</f>
        <v>1</v>
      </c>
      <c r="G85">
        <f>Dataset_con_Errores!G85</f>
        <v>700</v>
      </c>
      <c r="H85">
        <f t="shared" si="1"/>
        <v>700</v>
      </c>
      <c r="I85" t="str">
        <f>IF(H85=Dataset_con_Errores!H85,"OK","ERROR")</f>
        <v>ERROR</v>
      </c>
    </row>
    <row r="86" spans="1:9" hidden="1" x14ac:dyDescent="0.25">
      <c r="A86">
        <f>Dataset_con_Errores!A86</f>
        <v>85</v>
      </c>
      <c r="B86" s="5" t="str">
        <f>TEXT(Dataset_con_Errores!B86,"dd/mm/yyyy")</f>
        <v>21/03/2026</v>
      </c>
      <c r="C86" t="str">
        <f>IF(Dataset_con_Errores!C86="","Sin Cliente",PROPER(TRIM(Dataset_con_Errores!C86)))</f>
        <v>Carlos Ruiz</v>
      </c>
      <c r="D86" t="str">
        <f>PROPER(TRIM(Dataset_con_Errores!D86))</f>
        <v>Bogotá</v>
      </c>
      <c r="E86" t="str">
        <f>IF(Dataset_con_Errores!E86="","Sin especificar",Dataset_con_Errores!E86)</f>
        <v>Mouse</v>
      </c>
      <c r="F86">
        <f>IF(Dataset_con_Errores!F86&lt;=0,1,Dataset_con_Errores!F86)</f>
        <v>1</v>
      </c>
      <c r="G86">
        <f>Dataset_con_Errores!G86</f>
        <v>1500</v>
      </c>
      <c r="H86">
        <f t="shared" si="1"/>
        <v>1500</v>
      </c>
      <c r="I86" t="str">
        <f>IF(H86=Dataset_con_Errores!H86,"OK","ERROR")</f>
        <v>ERROR</v>
      </c>
    </row>
    <row r="87" spans="1:9" x14ac:dyDescent="0.25">
      <c r="A87">
        <f>Dataset_con_Errores!A87</f>
        <v>86</v>
      </c>
      <c r="B87" s="5" t="str">
        <f>TEXT(Dataset_con_Errores!B87,"dd/mm/yyyy")</f>
        <v>01/03/2026</v>
      </c>
      <c r="C87" t="str">
        <f>IF(Dataset_con_Errores!C87="","Sin Cliente",PROPER(TRIM(Dataset_con_Errores!C87)))</f>
        <v>Maria Lopez</v>
      </c>
      <c r="D87" t="str">
        <f>PROPER(TRIM(Dataset_con_Errores!D87))</f>
        <v>Bogotá</v>
      </c>
      <c r="E87" t="str">
        <f>IF(Dataset_con_Errores!E87="","Sin especificar",Dataset_con_Errores!E87)</f>
        <v>Sin especificar</v>
      </c>
      <c r="F87">
        <f>IF(Dataset_con_Errores!F87&lt;=0,1,Dataset_con_Errores!F87)</f>
        <v>1</v>
      </c>
      <c r="G87">
        <f>Dataset_con_Errores!G87</f>
        <v>50</v>
      </c>
      <c r="H87">
        <f t="shared" si="1"/>
        <v>50</v>
      </c>
      <c r="I87" t="str">
        <f>IF(H87=Dataset_con_Errores!H87,"OK","ERROR")</f>
        <v>OK</v>
      </c>
    </row>
    <row r="88" spans="1:9" hidden="1" x14ac:dyDescent="0.25">
      <c r="A88">
        <f>Dataset_con_Errores!A88</f>
        <v>87</v>
      </c>
      <c r="B88" s="5" t="str">
        <f>TEXT(Dataset_con_Errores!B88,"dd/mm/yyyy")</f>
        <v>08/01/2026</v>
      </c>
      <c r="C88" t="str">
        <f>IF(Dataset_con_Errores!C88="","Sin Cliente",PROPER(TRIM(Dataset_con_Errores!C88)))</f>
        <v>Juan Perez</v>
      </c>
      <c r="D88" t="str">
        <f>PROPER(TRIM(Dataset_con_Errores!D88))</f>
        <v>Bogota</v>
      </c>
      <c r="E88" t="str">
        <f>IF(Dataset_con_Errores!E88="","Sin especificar",Dataset_con_Errores!E88)</f>
        <v>Monitor</v>
      </c>
      <c r="F88">
        <f>IF(Dataset_con_Errores!F88&lt;=0,1,Dataset_con_Errores!F88)</f>
        <v>1</v>
      </c>
      <c r="G88">
        <f>Dataset_con_Errores!G88</f>
        <v>80</v>
      </c>
      <c r="H88">
        <f t="shared" si="1"/>
        <v>80</v>
      </c>
      <c r="I88" t="str">
        <f>IF(H88=Dataset_con_Errores!H88,"OK","ERROR")</f>
        <v>ERROR</v>
      </c>
    </row>
    <row r="89" spans="1:9" x14ac:dyDescent="0.25">
      <c r="A89">
        <f>Dataset_con_Errores!A89</f>
        <v>88</v>
      </c>
      <c r="B89" s="5" t="str">
        <f>TEXT(Dataset_con_Errores!B89,"dd/mm/yyyy")</f>
        <v>09/02/2026</v>
      </c>
      <c r="C89" t="str">
        <f>IF(Dataset_con_Errores!C89="","Sin Cliente",PROPER(TRIM(Dataset_con_Errores!C89)))</f>
        <v>Juan Perez</v>
      </c>
      <c r="D89" t="str">
        <f>PROPER(TRIM(Dataset_con_Errores!D89))</f>
        <v>Medellín</v>
      </c>
      <c r="E89" t="str">
        <f>IF(Dataset_con_Errores!E89="","Sin especificar",Dataset_con_Errores!E89)</f>
        <v>Teclado</v>
      </c>
      <c r="F89">
        <f>IF(Dataset_con_Errores!F89&lt;=0,1,Dataset_con_Errores!F89)</f>
        <v>3</v>
      </c>
      <c r="G89">
        <f>Dataset_con_Errores!G89</f>
        <v>80</v>
      </c>
      <c r="H89">
        <f t="shared" si="1"/>
        <v>240</v>
      </c>
      <c r="I89" t="str">
        <f>IF(H89=Dataset_con_Errores!H89,"OK","ERROR")</f>
        <v>OK</v>
      </c>
    </row>
    <row r="90" spans="1:9" x14ac:dyDescent="0.25">
      <c r="A90">
        <f>Dataset_con_Errores!A90</f>
        <v>89</v>
      </c>
      <c r="B90" s="5" t="str">
        <f>TEXT(Dataset_con_Errores!B90,"dd/mm/yyyy")</f>
        <v>03/03/2026</v>
      </c>
      <c r="C90" t="str">
        <f>IF(Dataset_con_Errores!C90="","Sin Cliente",PROPER(TRIM(Dataset_con_Errores!C90)))</f>
        <v>Juan Perez</v>
      </c>
      <c r="D90" t="str">
        <f>PROPER(TRIM(Dataset_con_Errores!D90))</f>
        <v>Bogotá</v>
      </c>
      <c r="E90" t="str">
        <f>IF(Dataset_con_Errores!E90="","Sin especificar",Dataset_con_Errores!E90)</f>
        <v>Sin especificar</v>
      </c>
      <c r="F90">
        <f>IF(Dataset_con_Errores!F90&lt;=0,1,Dataset_con_Errores!F90)</f>
        <v>2</v>
      </c>
      <c r="G90">
        <f>Dataset_con_Errores!G90</f>
        <v>80</v>
      </c>
      <c r="H90">
        <f t="shared" si="1"/>
        <v>160</v>
      </c>
      <c r="I90" t="str">
        <f>IF(H90=Dataset_con_Errores!H90,"OK","ERROR")</f>
        <v>OK</v>
      </c>
    </row>
    <row r="91" spans="1:9" x14ac:dyDescent="0.25">
      <c r="A91">
        <f>Dataset_con_Errores!A91</f>
        <v>90</v>
      </c>
      <c r="B91" s="5" t="str">
        <f>TEXT(Dataset_con_Errores!B91,"dd/mm/yyyy")</f>
        <v>16/01/2026</v>
      </c>
      <c r="C91" t="str">
        <f>IF(Dataset_con_Errores!C91="","Sin Cliente",PROPER(TRIM(Dataset_con_Errores!C91)))</f>
        <v>Carlos Ruiz</v>
      </c>
      <c r="D91" t="str">
        <f>PROPER(TRIM(Dataset_con_Errores!D91))</f>
        <v>Medellin</v>
      </c>
      <c r="E91" t="str">
        <f>IF(Dataset_con_Errores!E91="","Sin especificar",Dataset_con_Errores!E91)</f>
        <v>Laptop</v>
      </c>
      <c r="F91">
        <f>IF(Dataset_con_Errores!F91&lt;=0,1,Dataset_con_Errores!F91)</f>
        <v>3</v>
      </c>
      <c r="G91">
        <f>Dataset_con_Errores!G91</f>
        <v>700</v>
      </c>
      <c r="H91">
        <f t="shared" si="1"/>
        <v>2100</v>
      </c>
      <c r="I91" t="str">
        <f>IF(H91=Dataset_con_Errores!H91,"OK","ERROR")</f>
        <v>OK</v>
      </c>
    </row>
    <row r="92" spans="1:9" x14ac:dyDescent="0.25">
      <c r="A92">
        <f>Dataset_con_Errores!A92</f>
        <v>91</v>
      </c>
      <c r="B92" s="5" t="str">
        <f>TEXT(Dataset_con_Errores!B92,"dd/mm/yyyy")</f>
        <v>17/03/2026</v>
      </c>
      <c r="C92" t="str">
        <f>IF(Dataset_con_Errores!C92="","Sin Cliente",PROPER(TRIM(Dataset_con_Errores!C92)))</f>
        <v>Maria Lopez</v>
      </c>
      <c r="D92" t="str">
        <f>PROPER(TRIM(Dataset_con_Errores!D92))</f>
        <v>Bogotá</v>
      </c>
      <c r="E92" t="str">
        <f>IF(Dataset_con_Errores!E92="","Sin especificar",Dataset_con_Errores!E92)</f>
        <v>Mouse</v>
      </c>
      <c r="F92">
        <f>IF(Dataset_con_Errores!F92&lt;=0,1,Dataset_con_Errores!F92)</f>
        <v>3</v>
      </c>
      <c r="G92">
        <f>Dataset_con_Errores!G92</f>
        <v>700</v>
      </c>
      <c r="H92">
        <f t="shared" si="1"/>
        <v>2100</v>
      </c>
      <c r="I92" t="str">
        <f>IF(H92=Dataset_con_Errores!H92,"OK","ERROR")</f>
        <v>OK</v>
      </c>
    </row>
    <row r="93" spans="1:9" hidden="1" x14ac:dyDescent="0.25">
      <c r="A93">
        <f>Dataset_con_Errores!A93</f>
        <v>92</v>
      </c>
      <c r="B93" s="5" t="str">
        <f>TEXT(Dataset_con_Errores!B93,"dd/mm/yyyy")</f>
        <v>15/02/2026</v>
      </c>
      <c r="C93" t="str">
        <f>IF(Dataset_con_Errores!C93="","Sin Cliente",PROPER(TRIM(Dataset_con_Errores!C93)))</f>
        <v>Maria Lopez</v>
      </c>
      <c r="D93" t="str">
        <f>PROPER(TRIM(Dataset_con_Errores!D93))</f>
        <v>Bogotá</v>
      </c>
      <c r="E93" t="str">
        <f>IF(Dataset_con_Errores!E93="","Sin especificar",Dataset_con_Errores!E93)</f>
        <v>Monitor</v>
      </c>
      <c r="F93">
        <f>IF(Dataset_con_Errores!F93&lt;=0,1,Dataset_con_Errores!F93)</f>
        <v>1</v>
      </c>
      <c r="G93">
        <f>Dataset_con_Errores!G93</f>
        <v>80</v>
      </c>
      <c r="H93">
        <f t="shared" si="1"/>
        <v>80</v>
      </c>
      <c r="I93" t="str">
        <f>IF(H93=Dataset_con_Errores!H93,"OK","ERROR")</f>
        <v>ERROR</v>
      </c>
    </row>
    <row r="94" spans="1:9" x14ac:dyDescent="0.25">
      <c r="A94">
        <f>Dataset_con_Errores!A94</f>
        <v>93</v>
      </c>
      <c r="B94" s="5" t="str">
        <f>TEXT(Dataset_con_Errores!B94,"dd/mm/yyyy")</f>
        <v>10/02/2026</v>
      </c>
      <c r="C94" t="str">
        <f>IF(Dataset_con_Errores!C94="","Sin Cliente",PROPER(TRIM(Dataset_con_Errores!C94)))</f>
        <v>Ana Torres</v>
      </c>
      <c r="D94" t="str">
        <f>PROPER(TRIM(Dataset_con_Errores!D94))</f>
        <v>Bogotá</v>
      </c>
      <c r="E94" t="str">
        <f>IF(Dataset_con_Errores!E94="","Sin especificar",Dataset_con_Errores!E94)</f>
        <v>Monitor</v>
      </c>
      <c r="F94">
        <f>IF(Dataset_con_Errores!F94&lt;=0,1,Dataset_con_Errores!F94)</f>
        <v>2</v>
      </c>
      <c r="G94">
        <f>Dataset_con_Errores!G94</f>
        <v>80</v>
      </c>
      <c r="H94">
        <f t="shared" si="1"/>
        <v>160</v>
      </c>
      <c r="I94" t="str">
        <f>IF(H94=Dataset_con_Errores!H94,"OK","ERROR")</f>
        <v>OK</v>
      </c>
    </row>
    <row r="95" spans="1:9" hidden="1" x14ac:dyDescent="0.25">
      <c r="A95">
        <f>Dataset_con_Errores!A95</f>
        <v>94</v>
      </c>
      <c r="B95" s="5" t="str">
        <f>TEXT(Dataset_con_Errores!B95,"dd/mm/yyyy")</f>
        <v>31/01/2026</v>
      </c>
      <c r="C95" t="str">
        <f>IF(Dataset_con_Errores!C95="","Sin Cliente",PROPER(TRIM(Dataset_con_Errores!C95)))</f>
        <v>Sin Cliente</v>
      </c>
      <c r="D95" t="str">
        <f>PROPER(TRIM(Dataset_con_Errores!D95))</f>
        <v>Bogota</v>
      </c>
      <c r="E95" t="str">
        <f>IF(Dataset_con_Errores!E95="","Sin especificar",Dataset_con_Errores!E95)</f>
        <v>Laptop</v>
      </c>
      <c r="F95">
        <f>IF(Dataset_con_Errores!F95&lt;=0,1,Dataset_con_Errores!F95)</f>
        <v>1</v>
      </c>
      <c r="G95">
        <f>Dataset_con_Errores!G95</f>
        <v>80</v>
      </c>
      <c r="H95">
        <f t="shared" si="1"/>
        <v>80</v>
      </c>
      <c r="I95" t="str">
        <f>IF(H95=Dataset_con_Errores!H95,"OK","ERROR")</f>
        <v>ERROR</v>
      </c>
    </row>
    <row r="96" spans="1:9" x14ac:dyDescent="0.25">
      <c r="A96">
        <f>Dataset_con_Errores!A96</f>
        <v>95</v>
      </c>
      <c r="B96" s="5" t="str">
        <f>TEXT(Dataset_con_Errores!B96,"dd/mm/yyyy")</f>
        <v>17/02/2026</v>
      </c>
      <c r="C96" t="str">
        <f>IF(Dataset_con_Errores!C96="","Sin Cliente",PROPER(TRIM(Dataset_con_Errores!C96)))</f>
        <v>Carlos Ruiz</v>
      </c>
      <c r="D96" t="str">
        <f>PROPER(TRIM(Dataset_con_Errores!D96))</f>
        <v>Medellín</v>
      </c>
      <c r="E96" t="str">
        <f>IF(Dataset_con_Errores!E96="","Sin especificar",Dataset_con_Errores!E96)</f>
        <v>Laptop</v>
      </c>
      <c r="F96">
        <f>IF(Dataset_con_Errores!F96&lt;=0,1,Dataset_con_Errores!F96)</f>
        <v>1</v>
      </c>
      <c r="G96">
        <f>Dataset_con_Errores!G96</f>
        <v>1500</v>
      </c>
      <c r="H96">
        <f t="shared" si="1"/>
        <v>1500</v>
      </c>
      <c r="I96" t="str">
        <f>IF(H96=Dataset_con_Errores!H96,"OK","ERROR")</f>
        <v>OK</v>
      </c>
    </row>
    <row r="97" spans="1:9" hidden="1" x14ac:dyDescent="0.25">
      <c r="A97">
        <f>Dataset_con_Errores!A97</f>
        <v>96</v>
      </c>
      <c r="B97" s="5" t="str">
        <f>TEXT(Dataset_con_Errores!B97,"dd/mm/yyyy")</f>
        <v>22/01/2026</v>
      </c>
      <c r="C97" t="str">
        <f>IF(Dataset_con_Errores!C97="","Sin Cliente",PROPER(TRIM(Dataset_con_Errores!C97)))</f>
        <v>Ana Torres</v>
      </c>
      <c r="D97" t="str">
        <f>PROPER(TRIM(Dataset_con_Errores!D97))</f>
        <v>Bogota</v>
      </c>
      <c r="E97" t="str">
        <f>IF(Dataset_con_Errores!E97="","Sin especificar",Dataset_con_Errores!E97)</f>
        <v>Laptop</v>
      </c>
      <c r="F97">
        <f>IF(Dataset_con_Errores!F97&lt;=0,1,Dataset_con_Errores!F97)</f>
        <v>4</v>
      </c>
      <c r="G97">
        <f>Dataset_con_Errores!G97</f>
        <v>80</v>
      </c>
      <c r="H97">
        <f t="shared" si="1"/>
        <v>320</v>
      </c>
      <c r="I97" t="str">
        <f>IF(H97=Dataset_con_Errores!H97,"OK","ERROR")</f>
        <v>ERROR</v>
      </c>
    </row>
    <row r="98" spans="1:9" hidden="1" x14ac:dyDescent="0.25">
      <c r="A98">
        <f>Dataset_con_Errores!A98</f>
        <v>97</v>
      </c>
      <c r="B98" s="5" t="str">
        <f>TEXT(Dataset_con_Errores!B98,"dd/mm/yyyy")</f>
        <v>08/03/2026</v>
      </c>
      <c r="C98" t="str">
        <f>IF(Dataset_con_Errores!C98="","Sin Cliente",PROPER(TRIM(Dataset_con_Errores!C98)))</f>
        <v>Sin Cliente</v>
      </c>
      <c r="D98" t="str">
        <f>PROPER(TRIM(Dataset_con_Errores!D98))</f>
        <v>Bogotá</v>
      </c>
      <c r="E98" t="str">
        <f>IF(Dataset_con_Errores!E98="","Sin especificar",Dataset_con_Errores!E98)</f>
        <v>Sin especificar</v>
      </c>
      <c r="F98">
        <f>IF(Dataset_con_Errores!F98&lt;=0,1,Dataset_con_Errores!F98)</f>
        <v>1</v>
      </c>
      <c r="G98">
        <f>Dataset_con_Errores!G98</f>
        <v>1500</v>
      </c>
      <c r="H98">
        <f t="shared" si="1"/>
        <v>1500</v>
      </c>
      <c r="I98" t="str">
        <f>IF(H98=Dataset_con_Errores!H98,"OK","ERROR")</f>
        <v>ERROR</v>
      </c>
    </row>
    <row r="99" spans="1:9" hidden="1" x14ac:dyDescent="0.25">
      <c r="A99">
        <f>Dataset_con_Errores!A99</f>
        <v>98</v>
      </c>
      <c r="B99" s="5" t="str">
        <f>TEXT(Dataset_con_Errores!B99,"dd/mm/yyyy")</f>
        <v>03-Jan-26</v>
      </c>
      <c r="C99" t="str">
        <f>IF(Dataset_con_Errores!C99="","Sin Cliente",PROPER(TRIM(Dataset_con_Errores!C99)))</f>
        <v>Carlos Ruiz</v>
      </c>
      <c r="D99" t="str">
        <f>PROPER(TRIM(Dataset_con_Errores!D99))</f>
        <v>Medellín</v>
      </c>
      <c r="E99" t="str">
        <f>IF(Dataset_con_Errores!E99="","Sin especificar",Dataset_con_Errores!E99)</f>
        <v>Monitor</v>
      </c>
      <c r="F99">
        <f>IF(Dataset_con_Errores!F99&lt;=0,1,Dataset_con_Errores!F99)</f>
        <v>1</v>
      </c>
      <c r="G99">
        <f>Dataset_con_Errores!G99</f>
        <v>700</v>
      </c>
      <c r="H99">
        <f t="shared" si="1"/>
        <v>700</v>
      </c>
      <c r="I99" t="str">
        <f>IF(H99=Dataset_con_Errores!H99,"OK","ERROR")</f>
        <v>ERROR</v>
      </c>
    </row>
    <row r="100" spans="1:9" x14ac:dyDescent="0.25">
      <c r="A100">
        <f>Dataset_con_Errores!A100</f>
        <v>99</v>
      </c>
      <c r="B100" s="5" t="str">
        <f>TEXT(Dataset_con_Errores!B100,"dd/mm/yyyy")</f>
        <v>25/02/2026</v>
      </c>
      <c r="C100" t="str">
        <f>IF(Dataset_con_Errores!C100="","Sin Cliente",PROPER(TRIM(Dataset_con_Errores!C100)))</f>
        <v>Juan Perez</v>
      </c>
      <c r="D100" t="str">
        <f>PROPER(TRIM(Dataset_con_Errores!D100))</f>
        <v>Medellín</v>
      </c>
      <c r="E100" t="str">
        <f>IF(Dataset_con_Errores!E100="","Sin especificar",Dataset_con_Errores!E100)</f>
        <v>Monitor</v>
      </c>
      <c r="F100">
        <f>IF(Dataset_con_Errores!F100&lt;=0,1,Dataset_con_Errores!F100)</f>
        <v>3</v>
      </c>
      <c r="G100">
        <f>Dataset_con_Errores!G100</f>
        <v>50</v>
      </c>
      <c r="H100">
        <f t="shared" si="1"/>
        <v>150</v>
      </c>
      <c r="I100" t="str">
        <f>IF(H100=Dataset_con_Errores!H100,"OK","ERROR")</f>
        <v>OK</v>
      </c>
    </row>
    <row r="101" spans="1:9" hidden="1" x14ac:dyDescent="0.25">
      <c r="A101">
        <f>Dataset_con_Errores!A101</f>
        <v>100</v>
      </c>
      <c r="B101" s="5" t="str">
        <f>TEXT(Dataset_con_Errores!B101,"dd/mm/yyyy")</f>
        <v>03/02/2026</v>
      </c>
      <c r="C101" t="str">
        <f>IF(Dataset_con_Errores!C101="","Sin Cliente",PROPER(TRIM(Dataset_con_Errores!C101)))</f>
        <v>Carlos Ruiz</v>
      </c>
      <c r="D101" t="str">
        <f>PROPER(TRIM(Dataset_con_Errores!D101))</f>
        <v>Bogotá</v>
      </c>
      <c r="E101" t="str">
        <f>IF(Dataset_con_Errores!E101="","Sin especificar",Dataset_con_Errores!E101)</f>
        <v>Mouse</v>
      </c>
      <c r="F101">
        <f>IF(Dataset_con_Errores!F101&lt;=0,1,Dataset_con_Errores!F101)</f>
        <v>1</v>
      </c>
      <c r="G101">
        <f>Dataset_con_Errores!G101</f>
        <v>50</v>
      </c>
      <c r="H101">
        <f t="shared" si="1"/>
        <v>50</v>
      </c>
      <c r="I101" t="str">
        <f>IF(H101=Dataset_con_Errores!H101,"OK","ERROR")</f>
        <v>ERROR</v>
      </c>
    </row>
    <row r="102" spans="1:9" hidden="1" x14ac:dyDescent="0.25">
      <c r="A102">
        <f>Dataset_con_Errores!A102</f>
        <v>101</v>
      </c>
      <c r="B102" s="5" t="str">
        <f>TEXT(Dataset_con_Errores!B102,"dd/mm/yyyy")</f>
        <v>28/02/2026</v>
      </c>
      <c r="C102" t="str">
        <f>IF(Dataset_con_Errores!C102="","Sin Cliente",PROPER(TRIM(Dataset_con_Errores!C102)))</f>
        <v>Sin Cliente</v>
      </c>
      <c r="D102" t="str">
        <f>PROPER(TRIM(Dataset_con_Errores!D102))</f>
        <v>Bogota</v>
      </c>
      <c r="E102" t="str">
        <f>IF(Dataset_con_Errores!E102="","Sin especificar",Dataset_con_Errores!E102)</f>
        <v>Laptop</v>
      </c>
      <c r="F102">
        <f>IF(Dataset_con_Errores!F102&lt;=0,1,Dataset_con_Errores!F102)</f>
        <v>1</v>
      </c>
      <c r="G102">
        <f>Dataset_con_Errores!G102</f>
        <v>1500</v>
      </c>
      <c r="H102">
        <f t="shared" si="1"/>
        <v>1500</v>
      </c>
      <c r="I102" t="str">
        <f>IF(H102=Dataset_con_Errores!H102,"OK","ERROR")</f>
        <v>ERROR</v>
      </c>
    </row>
    <row r="103" spans="1:9" hidden="1" x14ac:dyDescent="0.25">
      <c r="A103">
        <f>Dataset_con_Errores!A103</f>
        <v>102</v>
      </c>
      <c r="B103" s="5" t="str">
        <f>TEXT(Dataset_con_Errores!B103,"dd/mm/yyyy")</f>
        <v>03/02/2026</v>
      </c>
      <c r="C103" t="str">
        <f>IF(Dataset_con_Errores!C103="","Sin Cliente",PROPER(TRIM(Dataset_con_Errores!C103)))</f>
        <v>Ana Torres</v>
      </c>
      <c r="D103" t="str">
        <f>PROPER(TRIM(Dataset_con_Errores!D103))</f>
        <v>Bogotá</v>
      </c>
      <c r="E103" t="str">
        <f>IF(Dataset_con_Errores!E103="","Sin especificar",Dataset_con_Errores!E103)</f>
        <v>Teclado</v>
      </c>
      <c r="F103">
        <f>IF(Dataset_con_Errores!F103&lt;=0,1,Dataset_con_Errores!F103)</f>
        <v>1</v>
      </c>
      <c r="G103">
        <f>Dataset_con_Errores!G103</f>
        <v>700</v>
      </c>
      <c r="H103">
        <f t="shared" si="1"/>
        <v>700</v>
      </c>
      <c r="I103" t="str">
        <f>IF(H103=Dataset_con_Errores!H103,"OK","ERROR")</f>
        <v>ERROR</v>
      </c>
    </row>
    <row r="104" spans="1:9" hidden="1" x14ac:dyDescent="0.25">
      <c r="A104">
        <f>Dataset_con_Errores!A104</f>
        <v>103</v>
      </c>
      <c r="B104" s="5" t="str">
        <f>TEXT(Dataset_con_Errores!B104,"dd/mm/yyyy")</f>
        <v>12-Jan-26</v>
      </c>
      <c r="C104" t="str">
        <f>IF(Dataset_con_Errores!C104="","Sin Cliente",PROPER(TRIM(Dataset_con_Errores!C104)))</f>
        <v>Juan Perez</v>
      </c>
      <c r="D104" t="str">
        <f>PROPER(TRIM(Dataset_con_Errores!D104))</f>
        <v>Bogotá</v>
      </c>
      <c r="E104" t="str">
        <f>IF(Dataset_con_Errores!E104="","Sin especificar",Dataset_con_Errores!E104)</f>
        <v>Laptop</v>
      </c>
      <c r="F104">
        <f>IF(Dataset_con_Errores!F104&lt;=0,1,Dataset_con_Errores!F104)</f>
        <v>4</v>
      </c>
      <c r="G104">
        <f>Dataset_con_Errores!G104</f>
        <v>50</v>
      </c>
      <c r="H104">
        <f t="shared" si="1"/>
        <v>200</v>
      </c>
      <c r="I104" t="str">
        <f>IF(H104=Dataset_con_Errores!H104,"OK","ERROR")</f>
        <v>ERROR</v>
      </c>
    </row>
    <row r="105" spans="1:9" hidden="1" x14ac:dyDescent="0.25">
      <c r="A105">
        <f>Dataset_con_Errores!A105</f>
        <v>104</v>
      </c>
      <c r="B105" s="5" t="str">
        <f>TEXT(Dataset_con_Errores!B105,"dd/mm/yyyy")</f>
        <v>09/02/2026</v>
      </c>
      <c r="C105" t="str">
        <f>IF(Dataset_con_Errores!C105="","Sin Cliente",PROPER(TRIM(Dataset_con_Errores!C105)))</f>
        <v>Maria Lopez</v>
      </c>
      <c r="D105" t="str">
        <f>PROPER(TRIM(Dataset_con_Errores!D105))</f>
        <v>Medellin</v>
      </c>
      <c r="E105" t="str">
        <f>IF(Dataset_con_Errores!E105="","Sin especificar",Dataset_con_Errores!E105)</f>
        <v>Laptop</v>
      </c>
      <c r="F105">
        <f>IF(Dataset_con_Errores!F105&lt;=0,1,Dataset_con_Errores!F105)</f>
        <v>1</v>
      </c>
      <c r="G105">
        <f>Dataset_con_Errores!G105</f>
        <v>700</v>
      </c>
      <c r="H105">
        <f t="shared" si="1"/>
        <v>700</v>
      </c>
      <c r="I105" t="str">
        <f>IF(H105=Dataset_con_Errores!H105,"OK","ERROR")</f>
        <v>ERROR</v>
      </c>
    </row>
    <row r="106" spans="1:9" hidden="1" x14ac:dyDescent="0.25">
      <c r="A106">
        <f>Dataset_con_Errores!A106</f>
        <v>105</v>
      </c>
      <c r="B106" s="5" t="str">
        <f>TEXT(Dataset_con_Errores!B106,"dd/mm/yyyy")</f>
        <v>07/03/2026</v>
      </c>
      <c r="C106" t="str">
        <f>IF(Dataset_con_Errores!C106="","Sin Cliente",PROPER(TRIM(Dataset_con_Errores!C106)))</f>
        <v>Sin Cliente</v>
      </c>
      <c r="D106" t="str">
        <f>PROPER(TRIM(Dataset_con_Errores!D106))</f>
        <v>Bogota</v>
      </c>
      <c r="E106" t="str">
        <f>IF(Dataset_con_Errores!E106="","Sin especificar",Dataset_con_Errores!E106)</f>
        <v>Teclado</v>
      </c>
      <c r="F106">
        <f>IF(Dataset_con_Errores!F106&lt;=0,1,Dataset_con_Errores!F106)</f>
        <v>1</v>
      </c>
      <c r="G106">
        <f>Dataset_con_Errores!G106</f>
        <v>50</v>
      </c>
      <c r="H106">
        <f t="shared" si="1"/>
        <v>50</v>
      </c>
      <c r="I106" t="str">
        <f>IF(H106=Dataset_con_Errores!H106,"OK","ERROR")</f>
        <v>ERROR</v>
      </c>
    </row>
    <row r="107" spans="1:9" hidden="1" x14ac:dyDescent="0.25">
      <c r="A107">
        <f>Dataset_con_Errores!A107</f>
        <v>106</v>
      </c>
      <c r="B107" s="5" t="str">
        <f>TEXT(Dataset_con_Errores!B107,"dd/mm/yyyy")</f>
        <v>08/03/2026</v>
      </c>
      <c r="C107" t="str">
        <f>IF(Dataset_con_Errores!C107="","Sin Cliente",PROPER(TRIM(Dataset_con_Errores!C107)))</f>
        <v>Sin Cliente</v>
      </c>
      <c r="D107" t="str">
        <f>PROPER(TRIM(Dataset_con_Errores!D107))</f>
        <v>Medellin</v>
      </c>
      <c r="E107" t="str">
        <f>IF(Dataset_con_Errores!E107="","Sin especificar",Dataset_con_Errores!E107)</f>
        <v>Monitor</v>
      </c>
      <c r="F107">
        <f>IF(Dataset_con_Errores!F107&lt;=0,1,Dataset_con_Errores!F107)</f>
        <v>1</v>
      </c>
      <c r="G107">
        <f>Dataset_con_Errores!G107</f>
        <v>700</v>
      </c>
      <c r="H107">
        <f t="shared" si="1"/>
        <v>700</v>
      </c>
      <c r="I107" t="str">
        <f>IF(H107=Dataset_con_Errores!H107,"OK","ERROR")</f>
        <v>ERROR</v>
      </c>
    </row>
    <row r="108" spans="1:9" hidden="1" x14ac:dyDescent="0.25">
      <c r="A108">
        <f>Dataset_con_Errores!A108</f>
        <v>107</v>
      </c>
      <c r="B108" s="5" t="str">
        <f>TEXT(Dataset_con_Errores!B108,"dd/mm/yyyy")</f>
        <v>11-Jan-26</v>
      </c>
      <c r="C108" t="str">
        <f>IF(Dataset_con_Errores!C108="","Sin Cliente",PROPER(TRIM(Dataset_con_Errores!C108)))</f>
        <v>Carlos Ruiz</v>
      </c>
      <c r="D108" t="str">
        <f>PROPER(TRIM(Dataset_con_Errores!D108))</f>
        <v>Bogotá</v>
      </c>
      <c r="E108" t="str">
        <f>IF(Dataset_con_Errores!E108="","Sin especificar",Dataset_con_Errores!E108)</f>
        <v>Laptop</v>
      </c>
      <c r="F108">
        <f>IF(Dataset_con_Errores!F108&lt;=0,1,Dataset_con_Errores!F108)</f>
        <v>1</v>
      </c>
      <c r="G108">
        <f>Dataset_con_Errores!G108</f>
        <v>1500</v>
      </c>
      <c r="H108">
        <f t="shared" si="1"/>
        <v>1500</v>
      </c>
      <c r="I108" t="str">
        <f>IF(H108=Dataset_con_Errores!H108,"OK","ERROR")</f>
        <v>ERROR</v>
      </c>
    </row>
    <row r="109" spans="1:9" hidden="1" x14ac:dyDescent="0.25">
      <c r="A109">
        <f>Dataset_con_Errores!A109</f>
        <v>108</v>
      </c>
      <c r="B109" s="5" t="str">
        <f>TEXT(Dataset_con_Errores!B109,"dd/mm/yyyy")</f>
        <v>02/03/2026</v>
      </c>
      <c r="C109" t="str">
        <f>IF(Dataset_con_Errores!C109="","Sin Cliente",PROPER(TRIM(Dataset_con_Errores!C109)))</f>
        <v>Sin Cliente</v>
      </c>
      <c r="D109" t="str">
        <f>PROPER(TRIM(Dataset_con_Errores!D109))</f>
        <v>Medellín</v>
      </c>
      <c r="E109" t="str">
        <f>IF(Dataset_con_Errores!E109="","Sin especificar",Dataset_con_Errores!E109)</f>
        <v>Sin especificar</v>
      </c>
      <c r="F109">
        <f>IF(Dataset_con_Errores!F109&lt;=0,1,Dataset_con_Errores!F109)</f>
        <v>1</v>
      </c>
      <c r="G109">
        <f>Dataset_con_Errores!G109</f>
        <v>1500</v>
      </c>
      <c r="H109">
        <f t="shared" si="1"/>
        <v>1500</v>
      </c>
      <c r="I109" t="str">
        <f>IF(H109=Dataset_con_Errores!H109,"OK","ERROR")</f>
        <v>ERROR</v>
      </c>
    </row>
    <row r="110" spans="1:9" hidden="1" x14ac:dyDescent="0.25">
      <c r="A110">
        <f>Dataset_con_Errores!A110</f>
        <v>109</v>
      </c>
      <c r="B110" s="5" t="str">
        <f>TEXT(Dataset_con_Errores!B110,"dd/mm/yyyy")</f>
        <v>23-Jan-26</v>
      </c>
      <c r="C110" t="str">
        <f>IF(Dataset_con_Errores!C110="","Sin Cliente",PROPER(TRIM(Dataset_con_Errores!C110)))</f>
        <v>Ana Torres</v>
      </c>
      <c r="D110" t="str">
        <f>PROPER(TRIM(Dataset_con_Errores!D110))</f>
        <v>Bogota</v>
      </c>
      <c r="E110" t="str">
        <f>IF(Dataset_con_Errores!E110="","Sin especificar",Dataset_con_Errores!E110)</f>
        <v>Laptop</v>
      </c>
      <c r="F110">
        <f>IF(Dataset_con_Errores!F110&lt;=0,1,Dataset_con_Errores!F110)</f>
        <v>1</v>
      </c>
      <c r="G110">
        <f>Dataset_con_Errores!G110</f>
        <v>80</v>
      </c>
      <c r="H110">
        <f t="shared" si="1"/>
        <v>80</v>
      </c>
      <c r="I110" t="str">
        <f>IF(H110=Dataset_con_Errores!H110,"OK","ERROR")</f>
        <v>ERROR</v>
      </c>
    </row>
    <row r="111" spans="1:9" x14ac:dyDescent="0.25">
      <c r="A111">
        <f>Dataset_con_Errores!A111</f>
        <v>110</v>
      </c>
      <c r="B111" s="5" t="str">
        <f>TEXT(Dataset_con_Errores!B111,"dd/mm/yyyy")</f>
        <v>28-Jan-26</v>
      </c>
      <c r="C111" t="str">
        <f>IF(Dataset_con_Errores!C111="","Sin Cliente",PROPER(TRIM(Dataset_con_Errores!C111)))</f>
        <v>Sin Cliente</v>
      </c>
      <c r="D111" t="str">
        <f>PROPER(TRIM(Dataset_con_Errores!D111))</f>
        <v>Bogota</v>
      </c>
      <c r="E111" t="str">
        <f>IF(Dataset_con_Errores!E111="","Sin especificar",Dataset_con_Errores!E111)</f>
        <v>Mouse</v>
      </c>
      <c r="F111">
        <f>IF(Dataset_con_Errores!F111&lt;=0,1,Dataset_con_Errores!F111)</f>
        <v>3</v>
      </c>
      <c r="G111">
        <f>Dataset_con_Errores!G111</f>
        <v>50</v>
      </c>
      <c r="H111">
        <f t="shared" si="1"/>
        <v>150</v>
      </c>
      <c r="I111" t="str">
        <f>IF(H111=Dataset_con_Errores!H111,"OK","ERROR")</f>
        <v>OK</v>
      </c>
    </row>
    <row r="112" spans="1:9" hidden="1" x14ac:dyDescent="0.25">
      <c r="A112">
        <f>Dataset_con_Errores!A112</f>
        <v>111</v>
      </c>
      <c r="B112" s="5" t="str">
        <f>TEXT(Dataset_con_Errores!B112,"dd/mm/yyyy")</f>
        <v>10-Jan-26</v>
      </c>
      <c r="C112" t="str">
        <f>IF(Dataset_con_Errores!C112="","Sin Cliente",PROPER(TRIM(Dataset_con_Errores!C112)))</f>
        <v>Maria Lopez</v>
      </c>
      <c r="D112" t="str">
        <f>PROPER(TRIM(Dataset_con_Errores!D112))</f>
        <v>Bogota</v>
      </c>
      <c r="E112" t="str">
        <f>IF(Dataset_con_Errores!E112="","Sin especificar",Dataset_con_Errores!E112)</f>
        <v>Monitor</v>
      </c>
      <c r="F112">
        <f>IF(Dataset_con_Errores!F112&lt;=0,1,Dataset_con_Errores!F112)</f>
        <v>1</v>
      </c>
      <c r="G112">
        <f>Dataset_con_Errores!G112</f>
        <v>1500</v>
      </c>
      <c r="H112">
        <f t="shared" si="1"/>
        <v>1500</v>
      </c>
      <c r="I112" t="str">
        <f>IF(H112=Dataset_con_Errores!H112,"OK","ERROR")</f>
        <v>ERROR</v>
      </c>
    </row>
    <row r="113" spans="1:9" x14ac:dyDescent="0.25">
      <c r="A113">
        <f>Dataset_con_Errores!A113</f>
        <v>112</v>
      </c>
      <c r="B113" s="5" t="str">
        <f>TEXT(Dataset_con_Errores!B113,"dd/mm/yyyy")</f>
        <v>17/01/2026</v>
      </c>
      <c r="C113" t="str">
        <f>IF(Dataset_con_Errores!C113="","Sin Cliente",PROPER(TRIM(Dataset_con_Errores!C113)))</f>
        <v>Carlos Ruiz</v>
      </c>
      <c r="D113" t="str">
        <f>PROPER(TRIM(Dataset_con_Errores!D113))</f>
        <v>Bogota</v>
      </c>
      <c r="E113" t="str">
        <f>IF(Dataset_con_Errores!E113="","Sin especificar",Dataset_con_Errores!E113)</f>
        <v>Sin especificar</v>
      </c>
      <c r="F113">
        <f>IF(Dataset_con_Errores!F113&lt;=0,1,Dataset_con_Errores!F113)</f>
        <v>5</v>
      </c>
      <c r="G113">
        <f>Dataset_con_Errores!G113</f>
        <v>50</v>
      </c>
      <c r="H113">
        <f t="shared" si="1"/>
        <v>250</v>
      </c>
      <c r="I113" t="str">
        <f>IF(H113=Dataset_con_Errores!H113,"OK","ERROR")</f>
        <v>OK</v>
      </c>
    </row>
    <row r="114" spans="1:9" hidden="1" x14ac:dyDescent="0.25">
      <c r="A114">
        <f>Dataset_con_Errores!A114</f>
        <v>113</v>
      </c>
      <c r="B114" s="5" t="str">
        <f>TEXT(Dataset_con_Errores!B114,"dd/mm/yyyy")</f>
        <v>04/01/2026</v>
      </c>
      <c r="C114" t="str">
        <f>IF(Dataset_con_Errores!C114="","Sin Cliente",PROPER(TRIM(Dataset_con_Errores!C114)))</f>
        <v>Maria Lopez</v>
      </c>
      <c r="D114" t="str">
        <f>PROPER(TRIM(Dataset_con_Errores!D114))</f>
        <v>Bogotá</v>
      </c>
      <c r="E114" t="str">
        <f>IF(Dataset_con_Errores!E114="","Sin especificar",Dataset_con_Errores!E114)</f>
        <v>Sin especificar</v>
      </c>
      <c r="F114">
        <f>IF(Dataset_con_Errores!F114&lt;=0,1,Dataset_con_Errores!F114)</f>
        <v>1</v>
      </c>
      <c r="G114">
        <f>Dataset_con_Errores!G114</f>
        <v>1500</v>
      </c>
      <c r="H114">
        <f t="shared" si="1"/>
        <v>1500</v>
      </c>
      <c r="I114" t="str">
        <f>IF(H114=Dataset_con_Errores!H114,"OK","ERROR")</f>
        <v>ERROR</v>
      </c>
    </row>
    <row r="115" spans="1:9" hidden="1" x14ac:dyDescent="0.25">
      <c r="A115">
        <f>Dataset_con_Errores!A115</f>
        <v>114</v>
      </c>
      <c r="B115" s="5" t="str">
        <f>TEXT(Dataset_con_Errores!B115,"dd/mm/yyyy")</f>
        <v>22/03/2026</v>
      </c>
      <c r="C115" t="str">
        <f>IF(Dataset_con_Errores!C115="","Sin Cliente",PROPER(TRIM(Dataset_con_Errores!C115)))</f>
        <v>Ana Torres</v>
      </c>
      <c r="D115" t="str">
        <f>PROPER(TRIM(Dataset_con_Errores!D115))</f>
        <v>Bogotá</v>
      </c>
      <c r="E115" t="str">
        <f>IF(Dataset_con_Errores!E115="","Sin especificar",Dataset_con_Errores!E115)</f>
        <v>Teclado</v>
      </c>
      <c r="F115">
        <f>IF(Dataset_con_Errores!F115&lt;=0,1,Dataset_con_Errores!F115)</f>
        <v>1</v>
      </c>
      <c r="G115">
        <f>Dataset_con_Errores!G115</f>
        <v>700</v>
      </c>
      <c r="H115">
        <f t="shared" si="1"/>
        <v>700</v>
      </c>
      <c r="I115" t="str">
        <f>IF(H115=Dataset_con_Errores!H115,"OK","ERROR")</f>
        <v>ERROR</v>
      </c>
    </row>
    <row r="116" spans="1:9" hidden="1" x14ac:dyDescent="0.25">
      <c r="A116">
        <f>Dataset_con_Errores!A116</f>
        <v>115</v>
      </c>
      <c r="B116" s="5" t="str">
        <f>TEXT(Dataset_con_Errores!B116,"dd/mm/yyyy")</f>
        <v>04/02/2026</v>
      </c>
      <c r="C116" t="str">
        <f>IF(Dataset_con_Errores!C116="","Sin Cliente",PROPER(TRIM(Dataset_con_Errores!C116)))</f>
        <v>Juan Perez</v>
      </c>
      <c r="D116" t="str">
        <f>PROPER(TRIM(Dataset_con_Errores!D116))</f>
        <v>Bogotá</v>
      </c>
      <c r="E116" t="str">
        <f>IF(Dataset_con_Errores!E116="","Sin especificar",Dataset_con_Errores!E116)</f>
        <v>Laptop</v>
      </c>
      <c r="F116">
        <f>IF(Dataset_con_Errores!F116&lt;=0,1,Dataset_con_Errores!F116)</f>
        <v>1</v>
      </c>
      <c r="G116">
        <f>Dataset_con_Errores!G116</f>
        <v>50</v>
      </c>
      <c r="H116">
        <f t="shared" si="1"/>
        <v>50</v>
      </c>
      <c r="I116" t="str">
        <f>IF(H116=Dataset_con_Errores!H116,"OK","ERROR")</f>
        <v>ERROR</v>
      </c>
    </row>
    <row r="117" spans="1:9" x14ac:dyDescent="0.25">
      <c r="A117">
        <f>Dataset_con_Errores!A117</f>
        <v>116</v>
      </c>
      <c r="B117" s="5" t="str">
        <f>TEXT(Dataset_con_Errores!B117,"dd/mm/yyyy")</f>
        <v>29/03/2026</v>
      </c>
      <c r="C117" t="str">
        <f>IF(Dataset_con_Errores!C117="","Sin Cliente",PROPER(TRIM(Dataset_con_Errores!C117)))</f>
        <v>Maria Lopez</v>
      </c>
      <c r="D117" t="str">
        <f>PROPER(TRIM(Dataset_con_Errores!D117))</f>
        <v>Bogota</v>
      </c>
      <c r="E117" t="str">
        <f>IF(Dataset_con_Errores!E117="","Sin especificar",Dataset_con_Errores!E117)</f>
        <v>Teclado</v>
      </c>
      <c r="F117">
        <f>IF(Dataset_con_Errores!F117&lt;=0,1,Dataset_con_Errores!F117)</f>
        <v>1</v>
      </c>
      <c r="G117">
        <f>Dataset_con_Errores!G117</f>
        <v>700</v>
      </c>
      <c r="H117">
        <f t="shared" si="1"/>
        <v>700</v>
      </c>
      <c r="I117" t="str">
        <f>IF(H117=Dataset_con_Errores!H117,"OK","ERROR")</f>
        <v>OK</v>
      </c>
    </row>
    <row r="118" spans="1:9" hidden="1" x14ac:dyDescent="0.25">
      <c r="A118">
        <f>Dataset_con_Errores!A118</f>
        <v>117</v>
      </c>
      <c r="B118" s="5" t="str">
        <f>TEXT(Dataset_con_Errores!B118,"dd/mm/yyyy")</f>
        <v>01/03/2026</v>
      </c>
      <c r="C118" t="str">
        <f>IF(Dataset_con_Errores!C118="","Sin Cliente",PROPER(TRIM(Dataset_con_Errores!C118)))</f>
        <v>Sin Cliente</v>
      </c>
      <c r="D118" t="str">
        <f>PROPER(TRIM(Dataset_con_Errores!D118))</f>
        <v>Bogotá</v>
      </c>
      <c r="E118" t="str">
        <f>IF(Dataset_con_Errores!E118="","Sin especificar",Dataset_con_Errores!E118)</f>
        <v>Sin especificar</v>
      </c>
      <c r="F118">
        <f>IF(Dataset_con_Errores!F118&lt;=0,1,Dataset_con_Errores!F118)</f>
        <v>1</v>
      </c>
      <c r="G118">
        <f>Dataset_con_Errores!G118</f>
        <v>700</v>
      </c>
      <c r="H118">
        <f t="shared" si="1"/>
        <v>700</v>
      </c>
      <c r="I118" t="str">
        <f>IF(H118=Dataset_con_Errores!H118,"OK","ERROR")</f>
        <v>ERROR</v>
      </c>
    </row>
    <row r="119" spans="1:9" hidden="1" x14ac:dyDescent="0.25">
      <c r="A119">
        <f>Dataset_con_Errores!A119</f>
        <v>118</v>
      </c>
      <c r="B119" s="5" t="str">
        <f>TEXT(Dataset_con_Errores!B119,"dd/mm/yyyy")</f>
        <v>20/01/2026</v>
      </c>
      <c r="C119" t="str">
        <f>IF(Dataset_con_Errores!C119="","Sin Cliente",PROPER(TRIM(Dataset_con_Errores!C119)))</f>
        <v>Ana Torres</v>
      </c>
      <c r="D119" t="str">
        <f>PROPER(TRIM(Dataset_con_Errores!D119))</f>
        <v>Medellin</v>
      </c>
      <c r="E119" t="str">
        <f>IF(Dataset_con_Errores!E119="","Sin especificar",Dataset_con_Errores!E119)</f>
        <v>Teclado</v>
      </c>
      <c r="F119">
        <f>IF(Dataset_con_Errores!F119&lt;=0,1,Dataset_con_Errores!F119)</f>
        <v>1</v>
      </c>
      <c r="G119">
        <f>Dataset_con_Errores!G119</f>
        <v>50</v>
      </c>
      <c r="H119">
        <f t="shared" si="1"/>
        <v>50</v>
      </c>
      <c r="I119" t="str">
        <f>IF(H119=Dataset_con_Errores!H119,"OK","ERROR")</f>
        <v>ERROR</v>
      </c>
    </row>
    <row r="120" spans="1:9" hidden="1" x14ac:dyDescent="0.25">
      <c r="A120">
        <f>Dataset_con_Errores!A120</f>
        <v>119</v>
      </c>
      <c r="B120" s="5" t="str">
        <f>TEXT(Dataset_con_Errores!B120,"dd/mm/yyyy")</f>
        <v>04/02/2026</v>
      </c>
      <c r="C120" t="str">
        <f>IF(Dataset_con_Errores!C120="","Sin Cliente",PROPER(TRIM(Dataset_con_Errores!C120)))</f>
        <v>Maria Lopez</v>
      </c>
      <c r="D120" t="str">
        <f>PROPER(TRIM(Dataset_con_Errores!D120))</f>
        <v>Bogotá</v>
      </c>
      <c r="E120" t="str">
        <f>IF(Dataset_con_Errores!E120="","Sin especificar",Dataset_con_Errores!E120)</f>
        <v>Laptop</v>
      </c>
      <c r="F120">
        <f>IF(Dataset_con_Errores!F120&lt;=0,1,Dataset_con_Errores!F120)</f>
        <v>1</v>
      </c>
      <c r="G120">
        <f>Dataset_con_Errores!G120</f>
        <v>50</v>
      </c>
      <c r="H120">
        <f t="shared" si="1"/>
        <v>50</v>
      </c>
      <c r="I120" t="str">
        <f>IF(H120=Dataset_con_Errores!H120,"OK","ERROR")</f>
        <v>ERROR</v>
      </c>
    </row>
    <row r="121" spans="1:9" hidden="1" x14ac:dyDescent="0.25">
      <c r="A121">
        <f>Dataset_con_Errores!A121</f>
        <v>120</v>
      </c>
      <c r="B121" s="5" t="str">
        <f>TEXT(Dataset_con_Errores!B121,"dd/mm/yyyy")</f>
        <v>03/02/2026</v>
      </c>
      <c r="C121" t="str">
        <f>IF(Dataset_con_Errores!C121="","Sin Cliente",PROPER(TRIM(Dataset_con_Errores!C121)))</f>
        <v>Sin Cliente</v>
      </c>
      <c r="D121" t="str">
        <f>PROPER(TRIM(Dataset_con_Errores!D121))</f>
        <v>Medellin</v>
      </c>
      <c r="E121" t="str">
        <f>IF(Dataset_con_Errores!E121="","Sin especificar",Dataset_con_Errores!E121)</f>
        <v>Sin especificar</v>
      </c>
      <c r="F121">
        <f>IF(Dataset_con_Errores!F121&lt;=0,1,Dataset_con_Errores!F121)</f>
        <v>1</v>
      </c>
      <c r="G121">
        <f>Dataset_con_Errores!G121</f>
        <v>700</v>
      </c>
      <c r="H121">
        <f t="shared" si="1"/>
        <v>700</v>
      </c>
      <c r="I121" t="str">
        <f>IF(H121=Dataset_con_Errores!H121,"OK","ERROR")</f>
        <v>ERROR</v>
      </c>
    </row>
    <row r="122" spans="1:9" x14ac:dyDescent="0.25">
      <c r="A122">
        <f>Dataset_con_Errores!A122</f>
        <v>121</v>
      </c>
      <c r="B122" s="5" t="str">
        <f>TEXT(Dataset_con_Errores!B122,"dd/mm/yyyy")</f>
        <v>13-Jan-26</v>
      </c>
      <c r="C122" t="str">
        <f>IF(Dataset_con_Errores!C122="","Sin Cliente",PROPER(TRIM(Dataset_con_Errores!C122)))</f>
        <v>Sin Cliente</v>
      </c>
      <c r="D122" t="str">
        <f>PROPER(TRIM(Dataset_con_Errores!D122))</f>
        <v>Bogotá</v>
      </c>
      <c r="E122" t="str">
        <f>IF(Dataset_con_Errores!E122="","Sin especificar",Dataset_con_Errores!E122)</f>
        <v>Sin especificar</v>
      </c>
      <c r="F122">
        <f>IF(Dataset_con_Errores!F122&lt;=0,1,Dataset_con_Errores!F122)</f>
        <v>5</v>
      </c>
      <c r="G122">
        <f>Dataset_con_Errores!G122</f>
        <v>700</v>
      </c>
      <c r="H122">
        <f t="shared" si="1"/>
        <v>3500</v>
      </c>
      <c r="I122" t="str">
        <f>IF(H122=Dataset_con_Errores!H122,"OK","ERROR")</f>
        <v>OK</v>
      </c>
    </row>
    <row r="123" spans="1:9" hidden="1" x14ac:dyDescent="0.25">
      <c r="A123">
        <f>Dataset_con_Errores!A123</f>
        <v>122</v>
      </c>
      <c r="B123" s="5" t="str">
        <f>TEXT(Dataset_con_Errores!B123,"dd/mm/yyyy")</f>
        <v>13/02/2026</v>
      </c>
      <c r="C123" t="str">
        <f>IF(Dataset_con_Errores!C123="","Sin Cliente",PROPER(TRIM(Dataset_con_Errores!C123)))</f>
        <v>Carlos Ruiz</v>
      </c>
      <c r="D123" t="str">
        <f>PROPER(TRIM(Dataset_con_Errores!D123))</f>
        <v>Bogota</v>
      </c>
      <c r="E123" t="str">
        <f>IF(Dataset_con_Errores!E123="","Sin especificar",Dataset_con_Errores!E123)</f>
        <v>Laptop</v>
      </c>
      <c r="F123">
        <f>IF(Dataset_con_Errores!F123&lt;=0,1,Dataset_con_Errores!F123)</f>
        <v>1</v>
      </c>
      <c r="G123">
        <f>Dataset_con_Errores!G123</f>
        <v>700</v>
      </c>
      <c r="H123">
        <f t="shared" si="1"/>
        <v>700</v>
      </c>
      <c r="I123" t="str">
        <f>IF(H123=Dataset_con_Errores!H123,"OK","ERROR")</f>
        <v>ERROR</v>
      </c>
    </row>
    <row r="124" spans="1:9" x14ac:dyDescent="0.25">
      <c r="A124">
        <f>Dataset_con_Errores!A124</f>
        <v>123</v>
      </c>
      <c r="B124" s="5" t="str">
        <f>TEXT(Dataset_con_Errores!B124,"dd/mm/yyyy")</f>
        <v>06/02/2026</v>
      </c>
      <c r="C124" t="str">
        <f>IF(Dataset_con_Errores!C124="","Sin Cliente",PROPER(TRIM(Dataset_con_Errores!C124)))</f>
        <v>Juan Perez</v>
      </c>
      <c r="D124" t="str">
        <f>PROPER(TRIM(Dataset_con_Errores!D124))</f>
        <v>Bogotá</v>
      </c>
      <c r="E124" t="str">
        <f>IF(Dataset_con_Errores!E124="","Sin especificar",Dataset_con_Errores!E124)</f>
        <v>Teclado</v>
      </c>
      <c r="F124">
        <f>IF(Dataset_con_Errores!F124&lt;=0,1,Dataset_con_Errores!F124)</f>
        <v>4</v>
      </c>
      <c r="G124">
        <f>Dataset_con_Errores!G124</f>
        <v>50</v>
      </c>
      <c r="H124">
        <f t="shared" si="1"/>
        <v>200</v>
      </c>
      <c r="I124" t="str">
        <f>IF(H124=Dataset_con_Errores!H124,"OK","ERROR")</f>
        <v>OK</v>
      </c>
    </row>
    <row r="125" spans="1:9" hidden="1" x14ac:dyDescent="0.25">
      <c r="A125">
        <f>Dataset_con_Errores!A125</f>
        <v>124</v>
      </c>
      <c r="B125" s="5" t="str">
        <f>TEXT(Dataset_con_Errores!B125,"dd/mm/yyyy")</f>
        <v>11/01/2026</v>
      </c>
      <c r="C125" t="str">
        <f>IF(Dataset_con_Errores!C125="","Sin Cliente",PROPER(TRIM(Dataset_con_Errores!C125)))</f>
        <v>Maria Lopez</v>
      </c>
      <c r="D125" t="str">
        <f>PROPER(TRIM(Dataset_con_Errores!D125))</f>
        <v>Bogotá</v>
      </c>
      <c r="E125" t="str">
        <f>IF(Dataset_con_Errores!E125="","Sin especificar",Dataset_con_Errores!E125)</f>
        <v>Laptop</v>
      </c>
      <c r="F125">
        <f>IF(Dataset_con_Errores!F125&lt;=0,1,Dataset_con_Errores!F125)</f>
        <v>1</v>
      </c>
      <c r="G125">
        <f>Dataset_con_Errores!G125</f>
        <v>80</v>
      </c>
      <c r="H125">
        <f t="shared" si="1"/>
        <v>80</v>
      </c>
      <c r="I125" t="str">
        <f>IF(H125=Dataset_con_Errores!H125,"OK","ERROR")</f>
        <v>ERROR</v>
      </c>
    </row>
    <row r="126" spans="1:9" hidden="1" x14ac:dyDescent="0.25">
      <c r="A126">
        <f>Dataset_con_Errores!A126</f>
        <v>125</v>
      </c>
      <c r="B126" s="5" t="str">
        <f>TEXT(Dataset_con_Errores!B126,"dd/mm/yyyy")</f>
        <v>27/02/2026</v>
      </c>
      <c r="C126" t="str">
        <f>IF(Dataset_con_Errores!C126="","Sin Cliente",PROPER(TRIM(Dataset_con_Errores!C126)))</f>
        <v>Maria Lopez</v>
      </c>
      <c r="D126" t="str">
        <f>PROPER(TRIM(Dataset_con_Errores!D126))</f>
        <v>Medellín</v>
      </c>
      <c r="E126" t="str">
        <f>IF(Dataset_con_Errores!E126="","Sin especificar",Dataset_con_Errores!E126)</f>
        <v>Monitor</v>
      </c>
      <c r="F126">
        <f>IF(Dataset_con_Errores!F126&lt;=0,1,Dataset_con_Errores!F126)</f>
        <v>1</v>
      </c>
      <c r="G126">
        <f>Dataset_con_Errores!G126</f>
        <v>1500</v>
      </c>
      <c r="H126">
        <f t="shared" si="1"/>
        <v>1500</v>
      </c>
      <c r="I126" t="str">
        <f>IF(H126=Dataset_con_Errores!H126,"OK","ERROR")</f>
        <v>ERROR</v>
      </c>
    </row>
    <row r="127" spans="1:9" x14ac:dyDescent="0.25">
      <c r="A127">
        <f>Dataset_con_Errores!A127</f>
        <v>126</v>
      </c>
      <c r="B127" s="5" t="str">
        <f>TEXT(Dataset_con_Errores!B127,"dd/mm/yyyy")</f>
        <v>28/02/2026</v>
      </c>
      <c r="C127" t="str">
        <f>IF(Dataset_con_Errores!C127="","Sin Cliente",PROPER(TRIM(Dataset_con_Errores!C127)))</f>
        <v>Carlos Ruiz</v>
      </c>
      <c r="D127" t="str">
        <f>PROPER(TRIM(Dataset_con_Errores!D127))</f>
        <v>Bogotá</v>
      </c>
      <c r="E127" t="str">
        <f>IF(Dataset_con_Errores!E127="","Sin especificar",Dataset_con_Errores!E127)</f>
        <v>Monitor</v>
      </c>
      <c r="F127">
        <f>IF(Dataset_con_Errores!F127&lt;=0,1,Dataset_con_Errores!F127)</f>
        <v>1</v>
      </c>
      <c r="G127">
        <f>Dataset_con_Errores!G127</f>
        <v>1500</v>
      </c>
      <c r="H127">
        <f t="shared" si="1"/>
        <v>1500</v>
      </c>
      <c r="I127" t="str">
        <f>IF(H127=Dataset_con_Errores!H127,"OK","ERROR")</f>
        <v>OK</v>
      </c>
    </row>
    <row r="128" spans="1:9" hidden="1" x14ac:dyDescent="0.25">
      <c r="A128">
        <f>Dataset_con_Errores!A128</f>
        <v>127</v>
      </c>
      <c r="B128" s="5" t="str">
        <f>TEXT(Dataset_con_Errores!B128,"dd/mm/yyyy")</f>
        <v>28-Jan-26</v>
      </c>
      <c r="C128" t="str">
        <f>IF(Dataset_con_Errores!C128="","Sin Cliente",PROPER(TRIM(Dataset_con_Errores!C128)))</f>
        <v>Ana Torres</v>
      </c>
      <c r="D128" t="str">
        <f>PROPER(TRIM(Dataset_con_Errores!D128))</f>
        <v>Medellín</v>
      </c>
      <c r="E128" t="str">
        <f>IF(Dataset_con_Errores!E128="","Sin especificar",Dataset_con_Errores!E128)</f>
        <v>Mouse</v>
      </c>
      <c r="F128">
        <f>IF(Dataset_con_Errores!F128&lt;=0,1,Dataset_con_Errores!F128)</f>
        <v>1</v>
      </c>
      <c r="G128">
        <f>Dataset_con_Errores!G128</f>
        <v>50</v>
      </c>
      <c r="H128">
        <f t="shared" si="1"/>
        <v>50</v>
      </c>
      <c r="I128" t="str">
        <f>IF(H128=Dataset_con_Errores!H128,"OK","ERROR")</f>
        <v>ERROR</v>
      </c>
    </row>
    <row r="129" spans="1:9" hidden="1" x14ac:dyDescent="0.25">
      <c r="A129">
        <f>Dataset_con_Errores!A129</f>
        <v>128</v>
      </c>
      <c r="B129" s="5" t="str">
        <f>TEXT(Dataset_con_Errores!B129,"dd/mm/yyyy")</f>
        <v>17/02/2026</v>
      </c>
      <c r="C129" t="str">
        <f>IF(Dataset_con_Errores!C129="","Sin Cliente",PROPER(TRIM(Dataset_con_Errores!C129)))</f>
        <v>Carlos Ruiz</v>
      </c>
      <c r="D129" t="str">
        <f>PROPER(TRIM(Dataset_con_Errores!D129))</f>
        <v>Bogotá</v>
      </c>
      <c r="E129" t="str">
        <f>IF(Dataset_con_Errores!E129="","Sin especificar",Dataset_con_Errores!E129)</f>
        <v>Laptop</v>
      </c>
      <c r="F129">
        <f>IF(Dataset_con_Errores!F129&lt;=0,1,Dataset_con_Errores!F129)</f>
        <v>1</v>
      </c>
      <c r="G129">
        <f>Dataset_con_Errores!G129</f>
        <v>700</v>
      </c>
      <c r="H129">
        <f t="shared" si="1"/>
        <v>700</v>
      </c>
      <c r="I129" t="str">
        <f>IF(H129=Dataset_con_Errores!H129,"OK","ERROR")</f>
        <v>ERROR</v>
      </c>
    </row>
    <row r="130" spans="1:9" hidden="1" x14ac:dyDescent="0.25">
      <c r="A130">
        <f>Dataset_con_Errores!A130</f>
        <v>129</v>
      </c>
      <c r="B130" s="5" t="str">
        <f>TEXT(Dataset_con_Errores!B130,"dd/mm/yyyy")</f>
        <v>21/03/2026</v>
      </c>
      <c r="C130" t="str">
        <f>IF(Dataset_con_Errores!C130="","Sin Cliente",PROPER(TRIM(Dataset_con_Errores!C130)))</f>
        <v>Juan Perez</v>
      </c>
      <c r="D130" t="str">
        <f>PROPER(TRIM(Dataset_con_Errores!D130))</f>
        <v>Bogota</v>
      </c>
      <c r="E130" t="str">
        <f>IF(Dataset_con_Errores!E130="","Sin especificar",Dataset_con_Errores!E130)</f>
        <v>Monitor</v>
      </c>
      <c r="F130">
        <f>IF(Dataset_con_Errores!F130&lt;=0,1,Dataset_con_Errores!F130)</f>
        <v>1</v>
      </c>
      <c r="G130">
        <f>Dataset_con_Errores!G130</f>
        <v>80</v>
      </c>
      <c r="H130">
        <f t="shared" ref="H130:H193" si="2">F130*G130</f>
        <v>80</v>
      </c>
      <c r="I130" t="str">
        <f>IF(H130=Dataset_con_Errores!H130,"OK","ERROR")</f>
        <v>ERROR</v>
      </c>
    </row>
    <row r="131" spans="1:9" x14ac:dyDescent="0.25">
      <c r="A131">
        <f>Dataset_con_Errores!A131</f>
        <v>130</v>
      </c>
      <c r="B131" s="5" t="str">
        <f>TEXT(Dataset_con_Errores!B131,"dd/mm/yyyy")</f>
        <v>02/03/2026</v>
      </c>
      <c r="C131" t="str">
        <f>IF(Dataset_con_Errores!C131="","Sin Cliente",PROPER(TRIM(Dataset_con_Errores!C131)))</f>
        <v>Juan Perez</v>
      </c>
      <c r="D131" t="str">
        <f>PROPER(TRIM(Dataset_con_Errores!D131))</f>
        <v>Bogota</v>
      </c>
      <c r="E131" t="str">
        <f>IF(Dataset_con_Errores!E131="","Sin especificar",Dataset_con_Errores!E131)</f>
        <v>Monitor</v>
      </c>
      <c r="F131">
        <f>IF(Dataset_con_Errores!F131&lt;=0,1,Dataset_con_Errores!F131)</f>
        <v>4</v>
      </c>
      <c r="G131">
        <f>Dataset_con_Errores!G131</f>
        <v>700</v>
      </c>
      <c r="H131">
        <f t="shared" si="2"/>
        <v>2800</v>
      </c>
      <c r="I131" t="str">
        <f>IF(H131=Dataset_con_Errores!H131,"OK","ERROR")</f>
        <v>OK</v>
      </c>
    </row>
    <row r="132" spans="1:9" hidden="1" x14ac:dyDescent="0.25">
      <c r="A132">
        <f>Dataset_con_Errores!A132</f>
        <v>131</v>
      </c>
      <c r="B132" s="5" t="str">
        <f>TEXT(Dataset_con_Errores!B132,"dd/mm/yyyy")</f>
        <v>09/01/2026</v>
      </c>
      <c r="C132" t="str">
        <f>IF(Dataset_con_Errores!C132="","Sin Cliente",PROPER(TRIM(Dataset_con_Errores!C132)))</f>
        <v>Sin Cliente</v>
      </c>
      <c r="D132" t="str">
        <f>PROPER(TRIM(Dataset_con_Errores!D132))</f>
        <v>Bogotá</v>
      </c>
      <c r="E132" t="str">
        <f>IF(Dataset_con_Errores!E132="","Sin especificar",Dataset_con_Errores!E132)</f>
        <v>Laptop</v>
      </c>
      <c r="F132">
        <f>IF(Dataset_con_Errores!F132&lt;=0,1,Dataset_con_Errores!F132)</f>
        <v>1</v>
      </c>
      <c r="G132">
        <f>Dataset_con_Errores!G132</f>
        <v>1500</v>
      </c>
      <c r="H132">
        <f t="shared" si="2"/>
        <v>1500</v>
      </c>
      <c r="I132" t="str">
        <f>IF(H132=Dataset_con_Errores!H132,"OK","ERROR")</f>
        <v>ERROR</v>
      </c>
    </row>
    <row r="133" spans="1:9" hidden="1" x14ac:dyDescent="0.25">
      <c r="A133">
        <f>Dataset_con_Errores!A133</f>
        <v>132</v>
      </c>
      <c r="B133" s="5" t="str">
        <f>TEXT(Dataset_con_Errores!B133,"dd/mm/yyyy")</f>
        <v>10/03/2026</v>
      </c>
      <c r="C133" t="str">
        <f>IF(Dataset_con_Errores!C133="","Sin Cliente",PROPER(TRIM(Dataset_con_Errores!C133)))</f>
        <v>Maria Lopez</v>
      </c>
      <c r="D133" t="str">
        <f>PROPER(TRIM(Dataset_con_Errores!D133))</f>
        <v>Bogota</v>
      </c>
      <c r="E133" t="str">
        <f>IF(Dataset_con_Errores!E133="","Sin especificar",Dataset_con_Errores!E133)</f>
        <v>Sin especificar</v>
      </c>
      <c r="F133">
        <f>IF(Dataset_con_Errores!F133&lt;=0,1,Dataset_con_Errores!F133)</f>
        <v>1</v>
      </c>
      <c r="G133">
        <f>Dataset_con_Errores!G133</f>
        <v>50</v>
      </c>
      <c r="H133">
        <f t="shared" si="2"/>
        <v>50</v>
      </c>
      <c r="I133" t="str">
        <f>IF(H133=Dataset_con_Errores!H133,"OK","ERROR")</f>
        <v>ERROR</v>
      </c>
    </row>
    <row r="134" spans="1:9" hidden="1" x14ac:dyDescent="0.25">
      <c r="A134">
        <f>Dataset_con_Errores!A134</f>
        <v>133</v>
      </c>
      <c r="B134" s="5" t="str">
        <f>TEXT(Dataset_con_Errores!B134,"dd/mm/yyyy")</f>
        <v>11/02/2026</v>
      </c>
      <c r="C134" t="str">
        <f>IF(Dataset_con_Errores!C134="","Sin Cliente",PROPER(TRIM(Dataset_con_Errores!C134)))</f>
        <v>Juan Perez</v>
      </c>
      <c r="D134" t="str">
        <f>PROPER(TRIM(Dataset_con_Errores!D134))</f>
        <v>Medellin</v>
      </c>
      <c r="E134" t="str">
        <f>IF(Dataset_con_Errores!E134="","Sin especificar",Dataset_con_Errores!E134)</f>
        <v>Laptop</v>
      </c>
      <c r="F134">
        <f>IF(Dataset_con_Errores!F134&lt;=0,1,Dataset_con_Errores!F134)</f>
        <v>1</v>
      </c>
      <c r="G134">
        <f>Dataset_con_Errores!G134</f>
        <v>1500</v>
      </c>
      <c r="H134">
        <f t="shared" si="2"/>
        <v>1500</v>
      </c>
      <c r="I134" t="str">
        <f>IF(H134=Dataset_con_Errores!H134,"OK","ERROR")</f>
        <v>ERROR</v>
      </c>
    </row>
    <row r="135" spans="1:9" hidden="1" x14ac:dyDescent="0.25">
      <c r="A135">
        <f>Dataset_con_Errores!A135</f>
        <v>134</v>
      </c>
      <c r="B135" s="5" t="str">
        <f>TEXT(Dataset_con_Errores!B135,"dd/mm/yyyy")</f>
        <v>16/01/2026</v>
      </c>
      <c r="C135" t="str">
        <f>IF(Dataset_con_Errores!C135="","Sin Cliente",PROPER(TRIM(Dataset_con_Errores!C135)))</f>
        <v>Sin Cliente</v>
      </c>
      <c r="D135" t="str">
        <f>PROPER(TRIM(Dataset_con_Errores!D135))</f>
        <v>Bogotá</v>
      </c>
      <c r="E135" t="str">
        <f>IF(Dataset_con_Errores!E135="","Sin especificar",Dataset_con_Errores!E135)</f>
        <v>Monitor</v>
      </c>
      <c r="F135">
        <f>IF(Dataset_con_Errores!F135&lt;=0,1,Dataset_con_Errores!F135)</f>
        <v>1</v>
      </c>
      <c r="G135">
        <f>Dataset_con_Errores!G135</f>
        <v>1500</v>
      </c>
      <c r="H135">
        <f t="shared" si="2"/>
        <v>1500</v>
      </c>
      <c r="I135" t="str">
        <f>IF(H135=Dataset_con_Errores!H135,"OK","ERROR")</f>
        <v>ERROR</v>
      </c>
    </row>
    <row r="136" spans="1:9" hidden="1" x14ac:dyDescent="0.25">
      <c r="A136">
        <f>Dataset_con_Errores!A136</f>
        <v>135</v>
      </c>
      <c r="B136" s="5" t="str">
        <f>TEXT(Dataset_con_Errores!B136,"dd/mm/yyyy")</f>
        <v>13/03/2026</v>
      </c>
      <c r="C136" t="str">
        <f>IF(Dataset_con_Errores!C136="","Sin Cliente",PROPER(TRIM(Dataset_con_Errores!C136)))</f>
        <v>Juan Perez</v>
      </c>
      <c r="D136" t="str">
        <f>PROPER(TRIM(Dataset_con_Errores!D136))</f>
        <v>Bogota</v>
      </c>
      <c r="E136" t="str">
        <f>IF(Dataset_con_Errores!E136="","Sin especificar",Dataset_con_Errores!E136)</f>
        <v>Mouse</v>
      </c>
      <c r="F136">
        <f>IF(Dataset_con_Errores!F136&lt;=0,1,Dataset_con_Errores!F136)</f>
        <v>1</v>
      </c>
      <c r="G136">
        <f>Dataset_con_Errores!G136</f>
        <v>1500</v>
      </c>
      <c r="H136">
        <f t="shared" si="2"/>
        <v>1500</v>
      </c>
      <c r="I136" t="str">
        <f>IF(H136=Dataset_con_Errores!H136,"OK","ERROR")</f>
        <v>ERROR</v>
      </c>
    </row>
    <row r="137" spans="1:9" hidden="1" x14ac:dyDescent="0.25">
      <c r="A137">
        <f>Dataset_con_Errores!A137</f>
        <v>136</v>
      </c>
      <c r="B137" s="5" t="str">
        <f>TEXT(Dataset_con_Errores!B137,"dd/mm/yyyy")</f>
        <v>22/03/2026</v>
      </c>
      <c r="C137" t="str">
        <f>IF(Dataset_con_Errores!C137="","Sin Cliente",PROPER(TRIM(Dataset_con_Errores!C137)))</f>
        <v>Ana Torres</v>
      </c>
      <c r="D137" t="str">
        <f>PROPER(TRIM(Dataset_con_Errores!D137))</f>
        <v>Bogota</v>
      </c>
      <c r="E137" t="str">
        <f>IF(Dataset_con_Errores!E137="","Sin especificar",Dataset_con_Errores!E137)</f>
        <v>Monitor</v>
      </c>
      <c r="F137">
        <f>IF(Dataset_con_Errores!F137&lt;=0,1,Dataset_con_Errores!F137)</f>
        <v>1</v>
      </c>
      <c r="G137">
        <f>Dataset_con_Errores!G137</f>
        <v>700</v>
      </c>
      <c r="H137">
        <f t="shared" si="2"/>
        <v>700</v>
      </c>
      <c r="I137" t="str">
        <f>IF(H137=Dataset_con_Errores!H137,"OK","ERROR")</f>
        <v>ERROR</v>
      </c>
    </row>
    <row r="138" spans="1:9" x14ac:dyDescent="0.25">
      <c r="A138">
        <f>Dataset_con_Errores!A138</f>
        <v>137</v>
      </c>
      <c r="B138" s="5" t="str">
        <f>TEXT(Dataset_con_Errores!B138,"dd/mm/yyyy")</f>
        <v>28/03/2026</v>
      </c>
      <c r="C138" t="str">
        <f>IF(Dataset_con_Errores!C138="","Sin Cliente",PROPER(TRIM(Dataset_con_Errores!C138)))</f>
        <v>Sin Cliente</v>
      </c>
      <c r="D138" t="str">
        <f>PROPER(TRIM(Dataset_con_Errores!D138))</f>
        <v>Bogotá</v>
      </c>
      <c r="E138" t="str">
        <f>IF(Dataset_con_Errores!E138="","Sin especificar",Dataset_con_Errores!E138)</f>
        <v>Sin especificar</v>
      </c>
      <c r="F138">
        <f>IF(Dataset_con_Errores!F138&lt;=0,1,Dataset_con_Errores!F138)</f>
        <v>5</v>
      </c>
      <c r="G138">
        <f>Dataset_con_Errores!G138</f>
        <v>80</v>
      </c>
      <c r="H138">
        <f t="shared" si="2"/>
        <v>400</v>
      </c>
      <c r="I138" t="str">
        <f>IF(H138=Dataset_con_Errores!H138,"OK","ERROR")</f>
        <v>OK</v>
      </c>
    </row>
    <row r="139" spans="1:9" hidden="1" x14ac:dyDescent="0.25">
      <c r="A139">
        <f>Dataset_con_Errores!A139</f>
        <v>138</v>
      </c>
      <c r="B139" s="5" t="str">
        <f>TEXT(Dataset_con_Errores!B139,"dd/mm/yyyy")</f>
        <v>20/01/2026</v>
      </c>
      <c r="C139" t="str">
        <f>IF(Dataset_con_Errores!C139="","Sin Cliente",PROPER(TRIM(Dataset_con_Errores!C139)))</f>
        <v>Maria Lopez</v>
      </c>
      <c r="D139" t="str">
        <f>PROPER(TRIM(Dataset_con_Errores!D139))</f>
        <v>Medellín</v>
      </c>
      <c r="E139" t="str">
        <f>IF(Dataset_con_Errores!E139="","Sin especificar",Dataset_con_Errores!E139)</f>
        <v>Sin especificar</v>
      </c>
      <c r="F139">
        <f>IF(Dataset_con_Errores!F139&lt;=0,1,Dataset_con_Errores!F139)</f>
        <v>1</v>
      </c>
      <c r="G139">
        <f>Dataset_con_Errores!G139</f>
        <v>50</v>
      </c>
      <c r="H139">
        <f t="shared" si="2"/>
        <v>50</v>
      </c>
      <c r="I139" t="str">
        <f>IF(H139=Dataset_con_Errores!H139,"OK","ERROR")</f>
        <v>ERROR</v>
      </c>
    </row>
    <row r="140" spans="1:9" x14ac:dyDescent="0.25">
      <c r="A140">
        <f>Dataset_con_Errores!A140</f>
        <v>139</v>
      </c>
      <c r="B140" s="5" t="str">
        <f>TEXT(Dataset_con_Errores!B140,"dd/mm/yyyy")</f>
        <v>15/01/2026</v>
      </c>
      <c r="C140" t="str">
        <f>IF(Dataset_con_Errores!C140="","Sin Cliente",PROPER(TRIM(Dataset_con_Errores!C140)))</f>
        <v>Maria Lopez</v>
      </c>
      <c r="D140" t="str">
        <f>PROPER(TRIM(Dataset_con_Errores!D140))</f>
        <v>Bogota</v>
      </c>
      <c r="E140" t="str">
        <f>IF(Dataset_con_Errores!E140="","Sin especificar",Dataset_con_Errores!E140)</f>
        <v>Teclado</v>
      </c>
      <c r="F140">
        <f>IF(Dataset_con_Errores!F140&lt;=0,1,Dataset_con_Errores!F140)</f>
        <v>4</v>
      </c>
      <c r="G140">
        <f>Dataset_con_Errores!G140</f>
        <v>80</v>
      </c>
      <c r="H140">
        <f t="shared" si="2"/>
        <v>320</v>
      </c>
      <c r="I140" t="str">
        <f>IF(H140=Dataset_con_Errores!H140,"OK","ERROR")</f>
        <v>OK</v>
      </c>
    </row>
    <row r="141" spans="1:9" hidden="1" x14ac:dyDescent="0.25">
      <c r="A141">
        <f>Dataset_con_Errores!A141</f>
        <v>140</v>
      </c>
      <c r="B141" s="5" t="str">
        <f>TEXT(Dataset_con_Errores!B141,"dd/mm/yyyy")</f>
        <v>16/02/2026</v>
      </c>
      <c r="C141" t="str">
        <f>IF(Dataset_con_Errores!C141="","Sin Cliente",PROPER(TRIM(Dataset_con_Errores!C141)))</f>
        <v>Juan Perez</v>
      </c>
      <c r="D141" t="str">
        <f>PROPER(TRIM(Dataset_con_Errores!D141))</f>
        <v>Bogotá</v>
      </c>
      <c r="E141" t="str">
        <f>IF(Dataset_con_Errores!E141="","Sin especificar",Dataset_con_Errores!E141)</f>
        <v>Mouse</v>
      </c>
      <c r="F141">
        <f>IF(Dataset_con_Errores!F141&lt;=0,1,Dataset_con_Errores!F141)</f>
        <v>1</v>
      </c>
      <c r="G141">
        <f>Dataset_con_Errores!G141</f>
        <v>80</v>
      </c>
      <c r="H141">
        <f t="shared" si="2"/>
        <v>80</v>
      </c>
      <c r="I141" t="str">
        <f>IF(H141=Dataset_con_Errores!H141,"OK","ERROR")</f>
        <v>ERROR</v>
      </c>
    </row>
    <row r="142" spans="1:9" x14ac:dyDescent="0.25">
      <c r="A142">
        <f>Dataset_con_Errores!A142</f>
        <v>141</v>
      </c>
      <c r="B142" s="5" t="str">
        <f>TEXT(Dataset_con_Errores!B142,"dd/mm/yyyy")</f>
        <v>22/03/2026</v>
      </c>
      <c r="C142" t="str">
        <f>IF(Dataset_con_Errores!C142="","Sin Cliente",PROPER(TRIM(Dataset_con_Errores!C142)))</f>
        <v>Sin Cliente</v>
      </c>
      <c r="D142" t="str">
        <f>PROPER(TRIM(Dataset_con_Errores!D142))</f>
        <v>Bogotá</v>
      </c>
      <c r="E142" t="str">
        <f>IF(Dataset_con_Errores!E142="","Sin especificar",Dataset_con_Errores!E142)</f>
        <v>Mouse</v>
      </c>
      <c r="F142">
        <f>IF(Dataset_con_Errores!F142&lt;=0,1,Dataset_con_Errores!F142)</f>
        <v>2</v>
      </c>
      <c r="G142">
        <f>Dataset_con_Errores!G142</f>
        <v>1500</v>
      </c>
      <c r="H142">
        <f t="shared" si="2"/>
        <v>3000</v>
      </c>
      <c r="I142" t="str">
        <f>IF(H142=Dataset_con_Errores!H142,"OK","ERROR")</f>
        <v>OK</v>
      </c>
    </row>
    <row r="143" spans="1:9" hidden="1" x14ac:dyDescent="0.25">
      <c r="A143">
        <f>Dataset_con_Errores!A143</f>
        <v>142</v>
      </c>
      <c r="B143" s="5" t="str">
        <f>TEXT(Dataset_con_Errores!B143,"dd/mm/yyyy")</f>
        <v>05/03/2026</v>
      </c>
      <c r="C143" t="str">
        <f>IF(Dataset_con_Errores!C143="","Sin Cliente",PROPER(TRIM(Dataset_con_Errores!C143)))</f>
        <v>Maria Lopez</v>
      </c>
      <c r="D143" t="str">
        <f>PROPER(TRIM(Dataset_con_Errores!D143))</f>
        <v>Bogota</v>
      </c>
      <c r="E143" t="str">
        <f>IF(Dataset_con_Errores!E143="","Sin especificar",Dataset_con_Errores!E143)</f>
        <v>Mouse</v>
      </c>
      <c r="F143">
        <f>IF(Dataset_con_Errores!F143&lt;=0,1,Dataset_con_Errores!F143)</f>
        <v>1</v>
      </c>
      <c r="G143">
        <f>Dataset_con_Errores!G143</f>
        <v>1500</v>
      </c>
      <c r="H143">
        <f t="shared" si="2"/>
        <v>1500</v>
      </c>
      <c r="I143" t="str">
        <f>IF(H143=Dataset_con_Errores!H143,"OK","ERROR")</f>
        <v>ERROR</v>
      </c>
    </row>
    <row r="144" spans="1:9" hidden="1" x14ac:dyDescent="0.25">
      <c r="A144">
        <f>Dataset_con_Errores!A144</f>
        <v>143</v>
      </c>
      <c r="B144" s="5" t="str">
        <f>TEXT(Dataset_con_Errores!B144,"dd/mm/yyyy")</f>
        <v>05-Jan-26</v>
      </c>
      <c r="C144" t="str">
        <f>IF(Dataset_con_Errores!C144="","Sin Cliente",PROPER(TRIM(Dataset_con_Errores!C144)))</f>
        <v>Maria Lopez</v>
      </c>
      <c r="D144" t="str">
        <f>PROPER(TRIM(Dataset_con_Errores!D144))</f>
        <v>Medellín</v>
      </c>
      <c r="E144" t="str">
        <f>IF(Dataset_con_Errores!E144="","Sin especificar",Dataset_con_Errores!E144)</f>
        <v>Mouse</v>
      </c>
      <c r="F144">
        <f>IF(Dataset_con_Errores!F144&lt;=0,1,Dataset_con_Errores!F144)</f>
        <v>1</v>
      </c>
      <c r="G144">
        <f>Dataset_con_Errores!G144</f>
        <v>50</v>
      </c>
      <c r="H144">
        <f t="shared" si="2"/>
        <v>50</v>
      </c>
      <c r="I144" t="str">
        <f>IF(H144=Dataset_con_Errores!H144,"OK","ERROR")</f>
        <v>ERROR</v>
      </c>
    </row>
    <row r="145" spans="1:9" hidden="1" x14ac:dyDescent="0.25">
      <c r="A145">
        <f>Dataset_con_Errores!A145</f>
        <v>144</v>
      </c>
      <c r="B145" s="5" t="str">
        <f>TEXT(Dataset_con_Errores!B145,"dd/mm/yyyy")</f>
        <v>16-Jan-26</v>
      </c>
      <c r="C145" t="str">
        <f>IF(Dataset_con_Errores!C145="","Sin Cliente",PROPER(TRIM(Dataset_con_Errores!C145)))</f>
        <v>Ana Torres</v>
      </c>
      <c r="D145" t="str">
        <f>PROPER(TRIM(Dataset_con_Errores!D145))</f>
        <v>Bogotá</v>
      </c>
      <c r="E145" t="str">
        <f>IF(Dataset_con_Errores!E145="","Sin especificar",Dataset_con_Errores!E145)</f>
        <v>Teclado</v>
      </c>
      <c r="F145">
        <f>IF(Dataset_con_Errores!F145&lt;=0,1,Dataset_con_Errores!F145)</f>
        <v>1</v>
      </c>
      <c r="G145">
        <f>Dataset_con_Errores!G145</f>
        <v>80</v>
      </c>
      <c r="H145">
        <f t="shared" si="2"/>
        <v>80</v>
      </c>
      <c r="I145" t="str">
        <f>IF(H145=Dataset_con_Errores!H145,"OK","ERROR")</f>
        <v>ERROR</v>
      </c>
    </row>
    <row r="146" spans="1:9" hidden="1" x14ac:dyDescent="0.25">
      <c r="A146">
        <f>Dataset_con_Errores!A146</f>
        <v>145</v>
      </c>
      <c r="B146" s="5" t="str">
        <f>TEXT(Dataset_con_Errores!B146,"dd/mm/yyyy")</f>
        <v>20/03/2026</v>
      </c>
      <c r="C146" t="str">
        <f>IF(Dataset_con_Errores!C146="","Sin Cliente",PROPER(TRIM(Dataset_con_Errores!C146)))</f>
        <v>Maria Lopez</v>
      </c>
      <c r="D146" t="str">
        <f>PROPER(TRIM(Dataset_con_Errores!D146))</f>
        <v>Medellin</v>
      </c>
      <c r="E146" t="str">
        <f>IF(Dataset_con_Errores!E146="","Sin especificar",Dataset_con_Errores!E146)</f>
        <v>Laptop</v>
      </c>
      <c r="F146">
        <f>IF(Dataset_con_Errores!F146&lt;=0,1,Dataset_con_Errores!F146)</f>
        <v>1</v>
      </c>
      <c r="G146">
        <f>Dataset_con_Errores!G146</f>
        <v>80</v>
      </c>
      <c r="H146">
        <f t="shared" si="2"/>
        <v>80</v>
      </c>
      <c r="I146" t="str">
        <f>IF(H146=Dataset_con_Errores!H146,"OK","ERROR")</f>
        <v>ERROR</v>
      </c>
    </row>
    <row r="147" spans="1:9" hidden="1" x14ac:dyDescent="0.25">
      <c r="A147">
        <f>Dataset_con_Errores!A147</f>
        <v>146</v>
      </c>
      <c r="B147" s="5" t="str">
        <f>TEXT(Dataset_con_Errores!B147,"dd/mm/yyyy")</f>
        <v>18/02/2026</v>
      </c>
      <c r="C147" t="str">
        <f>IF(Dataset_con_Errores!C147="","Sin Cliente",PROPER(TRIM(Dataset_con_Errores!C147)))</f>
        <v>Juan Perez</v>
      </c>
      <c r="D147" t="str">
        <f>PROPER(TRIM(Dataset_con_Errores!D147))</f>
        <v>Bogota</v>
      </c>
      <c r="E147" t="str">
        <f>IF(Dataset_con_Errores!E147="","Sin especificar",Dataset_con_Errores!E147)</f>
        <v>Monitor</v>
      </c>
      <c r="F147">
        <f>IF(Dataset_con_Errores!F147&lt;=0,1,Dataset_con_Errores!F147)</f>
        <v>1</v>
      </c>
      <c r="G147">
        <f>Dataset_con_Errores!G147</f>
        <v>1500</v>
      </c>
      <c r="H147">
        <f t="shared" si="2"/>
        <v>1500</v>
      </c>
      <c r="I147" t="str">
        <f>IF(H147=Dataset_con_Errores!H147,"OK","ERROR")</f>
        <v>ERROR</v>
      </c>
    </row>
    <row r="148" spans="1:9" hidden="1" x14ac:dyDescent="0.25">
      <c r="A148">
        <f>Dataset_con_Errores!A148</f>
        <v>147</v>
      </c>
      <c r="B148" s="5" t="str">
        <f>TEXT(Dataset_con_Errores!B148,"dd/mm/yyyy")</f>
        <v>13/03/2026</v>
      </c>
      <c r="C148" t="str">
        <f>IF(Dataset_con_Errores!C148="","Sin Cliente",PROPER(TRIM(Dataset_con_Errores!C148)))</f>
        <v>Sin Cliente</v>
      </c>
      <c r="D148" t="str">
        <f>PROPER(TRIM(Dataset_con_Errores!D148))</f>
        <v>Medellin</v>
      </c>
      <c r="E148" t="str">
        <f>IF(Dataset_con_Errores!E148="","Sin especificar",Dataset_con_Errores!E148)</f>
        <v>Monitor</v>
      </c>
      <c r="F148">
        <f>IF(Dataset_con_Errores!F148&lt;=0,1,Dataset_con_Errores!F148)</f>
        <v>1</v>
      </c>
      <c r="G148">
        <f>Dataset_con_Errores!G148</f>
        <v>50</v>
      </c>
      <c r="H148">
        <f t="shared" si="2"/>
        <v>50</v>
      </c>
      <c r="I148" t="str">
        <f>IF(H148=Dataset_con_Errores!H148,"OK","ERROR")</f>
        <v>ERROR</v>
      </c>
    </row>
    <row r="149" spans="1:9" hidden="1" x14ac:dyDescent="0.25">
      <c r="A149">
        <f>Dataset_con_Errores!A149</f>
        <v>148</v>
      </c>
      <c r="B149" s="5" t="str">
        <f>TEXT(Dataset_con_Errores!B149,"dd/mm/yyyy")</f>
        <v>13-Jan-26</v>
      </c>
      <c r="C149" t="str">
        <f>IF(Dataset_con_Errores!C149="","Sin Cliente",PROPER(TRIM(Dataset_con_Errores!C149)))</f>
        <v>Ana Torres</v>
      </c>
      <c r="D149" t="str">
        <f>PROPER(TRIM(Dataset_con_Errores!D149))</f>
        <v>Bogotá</v>
      </c>
      <c r="E149" t="str">
        <f>IF(Dataset_con_Errores!E149="","Sin especificar",Dataset_con_Errores!E149)</f>
        <v>Teclado</v>
      </c>
      <c r="F149">
        <f>IF(Dataset_con_Errores!F149&lt;=0,1,Dataset_con_Errores!F149)</f>
        <v>1</v>
      </c>
      <c r="G149">
        <f>Dataset_con_Errores!G149</f>
        <v>1500</v>
      </c>
      <c r="H149">
        <f t="shared" si="2"/>
        <v>1500</v>
      </c>
      <c r="I149" t="str">
        <f>IF(H149=Dataset_con_Errores!H149,"OK","ERROR")</f>
        <v>ERROR</v>
      </c>
    </row>
    <row r="150" spans="1:9" hidden="1" x14ac:dyDescent="0.25">
      <c r="A150">
        <f>Dataset_con_Errores!A150</f>
        <v>149</v>
      </c>
      <c r="B150" s="5" t="str">
        <f>TEXT(Dataset_con_Errores!B150,"dd/mm/yyyy")</f>
        <v>06/02/2026</v>
      </c>
      <c r="C150" t="str">
        <f>IF(Dataset_con_Errores!C150="","Sin Cliente",PROPER(TRIM(Dataset_con_Errores!C150)))</f>
        <v>Ana Torres</v>
      </c>
      <c r="D150" t="str">
        <f>PROPER(TRIM(Dataset_con_Errores!D150))</f>
        <v>Medellín</v>
      </c>
      <c r="E150" t="str">
        <f>IF(Dataset_con_Errores!E150="","Sin especificar",Dataset_con_Errores!E150)</f>
        <v>Monitor</v>
      </c>
      <c r="F150">
        <f>IF(Dataset_con_Errores!F150&lt;=0,1,Dataset_con_Errores!F150)</f>
        <v>1</v>
      </c>
      <c r="G150">
        <f>Dataset_con_Errores!G150</f>
        <v>1500</v>
      </c>
      <c r="H150">
        <f t="shared" si="2"/>
        <v>1500</v>
      </c>
      <c r="I150" t="str">
        <f>IF(H150=Dataset_con_Errores!H150,"OK","ERROR")</f>
        <v>ERROR</v>
      </c>
    </row>
    <row r="151" spans="1:9" hidden="1" x14ac:dyDescent="0.25">
      <c r="A151">
        <f>Dataset_con_Errores!A151</f>
        <v>150</v>
      </c>
      <c r="B151" s="5" t="str">
        <f>TEXT(Dataset_con_Errores!B151,"dd/mm/yyyy")</f>
        <v>10/02/2026</v>
      </c>
      <c r="C151" t="str">
        <f>IF(Dataset_con_Errores!C151="","Sin Cliente",PROPER(TRIM(Dataset_con_Errores!C151)))</f>
        <v>Ana Torres</v>
      </c>
      <c r="D151" t="str">
        <f>PROPER(TRIM(Dataset_con_Errores!D151))</f>
        <v>Bogota</v>
      </c>
      <c r="E151" t="str">
        <f>IF(Dataset_con_Errores!E151="","Sin especificar",Dataset_con_Errores!E151)</f>
        <v>Monitor</v>
      </c>
      <c r="F151">
        <f>IF(Dataset_con_Errores!F151&lt;=0,1,Dataset_con_Errores!F151)</f>
        <v>1</v>
      </c>
      <c r="G151">
        <f>Dataset_con_Errores!G151</f>
        <v>50</v>
      </c>
      <c r="H151">
        <f t="shared" si="2"/>
        <v>50</v>
      </c>
      <c r="I151" t="str">
        <f>IF(H151=Dataset_con_Errores!H151,"OK","ERROR")</f>
        <v>ERROR</v>
      </c>
    </row>
    <row r="152" spans="1:9" hidden="1" x14ac:dyDescent="0.25">
      <c r="A152">
        <f>Dataset_con_Errores!A152</f>
        <v>151</v>
      </c>
      <c r="B152" s="5" t="str">
        <f>TEXT(Dataset_con_Errores!B152,"dd/mm/yyyy")</f>
        <v>27/03/2026</v>
      </c>
      <c r="C152" t="str">
        <f>IF(Dataset_con_Errores!C152="","Sin Cliente",PROPER(TRIM(Dataset_con_Errores!C152)))</f>
        <v>Juan Perez</v>
      </c>
      <c r="D152" t="str">
        <f>PROPER(TRIM(Dataset_con_Errores!D152))</f>
        <v>Medellín</v>
      </c>
      <c r="E152" t="str">
        <f>IF(Dataset_con_Errores!E152="","Sin especificar",Dataset_con_Errores!E152)</f>
        <v>Laptop</v>
      </c>
      <c r="F152">
        <f>IF(Dataset_con_Errores!F152&lt;=0,1,Dataset_con_Errores!F152)</f>
        <v>1</v>
      </c>
      <c r="G152">
        <f>Dataset_con_Errores!G152</f>
        <v>1500</v>
      </c>
      <c r="H152">
        <f t="shared" si="2"/>
        <v>1500</v>
      </c>
      <c r="I152" t="str">
        <f>IF(H152=Dataset_con_Errores!H152,"OK","ERROR")</f>
        <v>ERROR</v>
      </c>
    </row>
    <row r="153" spans="1:9" x14ac:dyDescent="0.25">
      <c r="A153">
        <f>Dataset_con_Errores!A153</f>
        <v>152</v>
      </c>
      <c r="B153" s="5" t="str">
        <f>TEXT(Dataset_con_Errores!B153,"dd/mm/yyyy")</f>
        <v>23/03/2026</v>
      </c>
      <c r="C153" t="str">
        <f>IF(Dataset_con_Errores!C153="","Sin Cliente",PROPER(TRIM(Dataset_con_Errores!C153)))</f>
        <v>Ana Torres</v>
      </c>
      <c r="D153" t="str">
        <f>PROPER(TRIM(Dataset_con_Errores!D153))</f>
        <v>Bogotá</v>
      </c>
      <c r="E153" t="str">
        <f>IF(Dataset_con_Errores!E153="","Sin especificar",Dataset_con_Errores!E153)</f>
        <v>Monitor</v>
      </c>
      <c r="F153">
        <f>IF(Dataset_con_Errores!F153&lt;=0,1,Dataset_con_Errores!F153)</f>
        <v>2</v>
      </c>
      <c r="G153">
        <f>Dataset_con_Errores!G153</f>
        <v>50</v>
      </c>
      <c r="H153">
        <f t="shared" si="2"/>
        <v>100</v>
      </c>
      <c r="I153" t="str">
        <f>IF(H153=Dataset_con_Errores!H153,"OK","ERROR")</f>
        <v>OK</v>
      </c>
    </row>
    <row r="154" spans="1:9" hidden="1" x14ac:dyDescent="0.25">
      <c r="A154">
        <f>Dataset_con_Errores!A154</f>
        <v>153</v>
      </c>
      <c r="B154" s="5" t="str">
        <f>TEXT(Dataset_con_Errores!B154,"dd/mm/yyyy")</f>
        <v>15/03/2026</v>
      </c>
      <c r="C154" t="str">
        <f>IF(Dataset_con_Errores!C154="","Sin Cliente",PROPER(TRIM(Dataset_con_Errores!C154)))</f>
        <v>Ana Torres</v>
      </c>
      <c r="D154" t="str">
        <f>PROPER(TRIM(Dataset_con_Errores!D154))</f>
        <v>Medellin</v>
      </c>
      <c r="E154" t="str">
        <f>IF(Dataset_con_Errores!E154="","Sin especificar",Dataset_con_Errores!E154)</f>
        <v>Monitor</v>
      </c>
      <c r="F154">
        <f>IF(Dataset_con_Errores!F154&lt;=0,1,Dataset_con_Errores!F154)</f>
        <v>1</v>
      </c>
      <c r="G154">
        <f>Dataset_con_Errores!G154</f>
        <v>80</v>
      </c>
      <c r="H154">
        <f t="shared" si="2"/>
        <v>80</v>
      </c>
      <c r="I154" t="str">
        <f>IF(H154=Dataset_con_Errores!H154,"OK","ERROR")</f>
        <v>ERROR</v>
      </c>
    </row>
    <row r="155" spans="1:9" hidden="1" x14ac:dyDescent="0.25">
      <c r="A155">
        <f>Dataset_con_Errores!A155</f>
        <v>154</v>
      </c>
      <c r="B155" s="5" t="str">
        <f>TEXT(Dataset_con_Errores!B155,"dd/mm/yyyy")</f>
        <v>01-Apr-26</v>
      </c>
      <c r="C155" t="str">
        <f>IF(Dataset_con_Errores!C155="","Sin Cliente",PROPER(TRIM(Dataset_con_Errores!C155)))</f>
        <v>Maria Lopez</v>
      </c>
      <c r="D155" t="str">
        <f>PROPER(TRIM(Dataset_con_Errores!D155))</f>
        <v>Bogotá</v>
      </c>
      <c r="E155" t="str">
        <f>IF(Dataset_con_Errores!E155="","Sin especificar",Dataset_con_Errores!E155)</f>
        <v>Teclado</v>
      </c>
      <c r="F155">
        <f>IF(Dataset_con_Errores!F155&lt;=0,1,Dataset_con_Errores!F155)</f>
        <v>1</v>
      </c>
      <c r="G155">
        <f>Dataset_con_Errores!G155</f>
        <v>50</v>
      </c>
      <c r="H155">
        <f t="shared" si="2"/>
        <v>50</v>
      </c>
      <c r="I155" t="str">
        <f>IF(H155=Dataset_con_Errores!H155,"OK","ERROR")</f>
        <v>ERROR</v>
      </c>
    </row>
    <row r="156" spans="1:9" hidden="1" x14ac:dyDescent="0.25">
      <c r="A156">
        <f>Dataset_con_Errores!A156</f>
        <v>155</v>
      </c>
      <c r="B156" s="5" t="str">
        <f>TEXT(Dataset_con_Errores!B156,"dd/mm/yyyy")</f>
        <v>10/03/2026</v>
      </c>
      <c r="C156" t="str">
        <f>IF(Dataset_con_Errores!C156="","Sin Cliente",PROPER(TRIM(Dataset_con_Errores!C156)))</f>
        <v>Ana Torres</v>
      </c>
      <c r="D156" t="str">
        <f>PROPER(TRIM(Dataset_con_Errores!D156))</f>
        <v>Medellin</v>
      </c>
      <c r="E156" t="str">
        <f>IF(Dataset_con_Errores!E156="","Sin especificar",Dataset_con_Errores!E156)</f>
        <v>Sin especificar</v>
      </c>
      <c r="F156">
        <f>IF(Dataset_con_Errores!F156&lt;=0,1,Dataset_con_Errores!F156)</f>
        <v>1</v>
      </c>
      <c r="G156">
        <f>Dataset_con_Errores!G156</f>
        <v>80</v>
      </c>
      <c r="H156">
        <f t="shared" si="2"/>
        <v>80</v>
      </c>
      <c r="I156" t="str">
        <f>IF(H156=Dataset_con_Errores!H156,"OK","ERROR")</f>
        <v>ERROR</v>
      </c>
    </row>
    <row r="157" spans="1:9" hidden="1" x14ac:dyDescent="0.25">
      <c r="A157">
        <f>Dataset_con_Errores!A157</f>
        <v>156</v>
      </c>
      <c r="B157" s="5" t="str">
        <f>TEXT(Dataset_con_Errores!B157,"dd/mm/yyyy")</f>
        <v>04/01/2026</v>
      </c>
      <c r="C157" t="str">
        <f>IF(Dataset_con_Errores!C157="","Sin Cliente",PROPER(TRIM(Dataset_con_Errores!C157)))</f>
        <v>Juan Perez</v>
      </c>
      <c r="D157" t="str">
        <f>PROPER(TRIM(Dataset_con_Errores!D157))</f>
        <v>Medellín</v>
      </c>
      <c r="E157" t="str">
        <f>IF(Dataset_con_Errores!E157="","Sin especificar",Dataset_con_Errores!E157)</f>
        <v>Teclado</v>
      </c>
      <c r="F157">
        <f>IF(Dataset_con_Errores!F157&lt;=0,1,Dataset_con_Errores!F157)</f>
        <v>1</v>
      </c>
      <c r="G157">
        <f>Dataset_con_Errores!G157</f>
        <v>80</v>
      </c>
      <c r="H157">
        <f t="shared" si="2"/>
        <v>80</v>
      </c>
      <c r="I157" t="str">
        <f>IF(H157=Dataset_con_Errores!H157,"OK","ERROR")</f>
        <v>ERROR</v>
      </c>
    </row>
    <row r="158" spans="1:9" hidden="1" x14ac:dyDescent="0.25">
      <c r="A158">
        <f>Dataset_con_Errores!A158</f>
        <v>157</v>
      </c>
      <c r="B158" s="5" t="str">
        <f>TEXT(Dataset_con_Errores!B158,"dd/mm/yyyy")</f>
        <v>03/02/2026</v>
      </c>
      <c r="C158" t="str">
        <f>IF(Dataset_con_Errores!C158="","Sin Cliente",PROPER(TRIM(Dataset_con_Errores!C158)))</f>
        <v>Maria Lopez</v>
      </c>
      <c r="D158" t="str">
        <f>PROPER(TRIM(Dataset_con_Errores!D158))</f>
        <v>Bogota</v>
      </c>
      <c r="E158" t="str">
        <f>IF(Dataset_con_Errores!E158="","Sin especificar",Dataset_con_Errores!E158)</f>
        <v>Teclado</v>
      </c>
      <c r="F158">
        <f>IF(Dataset_con_Errores!F158&lt;=0,1,Dataset_con_Errores!F158)</f>
        <v>1</v>
      </c>
      <c r="G158">
        <f>Dataset_con_Errores!G158</f>
        <v>50</v>
      </c>
      <c r="H158">
        <f t="shared" si="2"/>
        <v>50</v>
      </c>
      <c r="I158" t="str">
        <f>IF(H158=Dataset_con_Errores!H158,"OK","ERROR")</f>
        <v>ERROR</v>
      </c>
    </row>
    <row r="159" spans="1:9" hidden="1" x14ac:dyDescent="0.25">
      <c r="A159">
        <f>Dataset_con_Errores!A159</f>
        <v>158</v>
      </c>
      <c r="B159" s="5" t="str">
        <f>TEXT(Dataset_con_Errores!B159,"dd/mm/yyyy")</f>
        <v>07/03/2026</v>
      </c>
      <c r="C159" t="str">
        <f>IF(Dataset_con_Errores!C159="","Sin Cliente",PROPER(TRIM(Dataset_con_Errores!C159)))</f>
        <v>Juan Perez</v>
      </c>
      <c r="D159" t="str">
        <f>PROPER(TRIM(Dataset_con_Errores!D159))</f>
        <v>Medellin</v>
      </c>
      <c r="E159" t="str">
        <f>IF(Dataset_con_Errores!E159="","Sin especificar",Dataset_con_Errores!E159)</f>
        <v>Monitor</v>
      </c>
      <c r="F159">
        <f>IF(Dataset_con_Errores!F159&lt;=0,1,Dataset_con_Errores!F159)</f>
        <v>1</v>
      </c>
      <c r="G159">
        <f>Dataset_con_Errores!G159</f>
        <v>1500</v>
      </c>
      <c r="H159">
        <f t="shared" si="2"/>
        <v>1500</v>
      </c>
      <c r="I159" t="str">
        <f>IF(H159=Dataset_con_Errores!H159,"OK","ERROR")</f>
        <v>ERROR</v>
      </c>
    </row>
    <row r="160" spans="1:9" x14ac:dyDescent="0.25">
      <c r="A160">
        <f>Dataset_con_Errores!A160</f>
        <v>159</v>
      </c>
      <c r="B160" s="5" t="str">
        <f>TEXT(Dataset_con_Errores!B160,"dd/mm/yyyy")</f>
        <v>11/01/2026</v>
      </c>
      <c r="C160" t="str">
        <f>IF(Dataset_con_Errores!C160="","Sin Cliente",PROPER(TRIM(Dataset_con_Errores!C160)))</f>
        <v>Maria Lopez</v>
      </c>
      <c r="D160" t="str">
        <f>PROPER(TRIM(Dataset_con_Errores!D160))</f>
        <v>Medellin</v>
      </c>
      <c r="E160" t="str">
        <f>IF(Dataset_con_Errores!E160="","Sin especificar",Dataset_con_Errores!E160)</f>
        <v>Teclado</v>
      </c>
      <c r="F160">
        <f>IF(Dataset_con_Errores!F160&lt;=0,1,Dataset_con_Errores!F160)</f>
        <v>3</v>
      </c>
      <c r="G160">
        <f>Dataset_con_Errores!G160</f>
        <v>1500</v>
      </c>
      <c r="H160">
        <f t="shared" si="2"/>
        <v>4500</v>
      </c>
      <c r="I160" t="str">
        <f>IF(H160=Dataset_con_Errores!H160,"OK","ERROR")</f>
        <v>OK</v>
      </c>
    </row>
    <row r="161" spans="1:9" hidden="1" x14ac:dyDescent="0.25">
      <c r="A161">
        <f>Dataset_con_Errores!A161</f>
        <v>160</v>
      </c>
      <c r="B161" s="5" t="str">
        <f>TEXT(Dataset_con_Errores!B161,"dd/mm/yyyy")</f>
        <v>06/02/2026</v>
      </c>
      <c r="C161" t="str">
        <f>IF(Dataset_con_Errores!C161="","Sin Cliente",PROPER(TRIM(Dataset_con_Errores!C161)))</f>
        <v>Ana Torres</v>
      </c>
      <c r="D161" t="str">
        <f>PROPER(TRIM(Dataset_con_Errores!D161))</f>
        <v>Medellin</v>
      </c>
      <c r="E161" t="str">
        <f>IF(Dataset_con_Errores!E161="","Sin especificar",Dataset_con_Errores!E161)</f>
        <v>Sin especificar</v>
      </c>
      <c r="F161">
        <f>IF(Dataset_con_Errores!F161&lt;=0,1,Dataset_con_Errores!F161)</f>
        <v>1</v>
      </c>
      <c r="G161">
        <f>Dataset_con_Errores!G161</f>
        <v>1500</v>
      </c>
      <c r="H161">
        <f t="shared" si="2"/>
        <v>1500</v>
      </c>
      <c r="I161" t="str">
        <f>IF(H161=Dataset_con_Errores!H161,"OK","ERROR")</f>
        <v>ERROR</v>
      </c>
    </row>
    <row r="162" spans="1:9" hidden="1" x14ac:dyDescent="0.25">
      <c r="A162">
        <f>Dataset_con_Errores!A162</f>
        <v>161</v>
      </c>
      <c r="B162" s="5" t="str">
        <f>TEXT(Dataset_con_Errores!B162,"dd/mm/yyyy")</f>
        <v>30/03/2026</v>
      </c>
      <c r="C162" t="str">
        <f>IF(Dataset_con_Errores!C162="","Sin Cliente",PROPER(TRIM(Dataset_con_Errores!C162)))</f>
        <v>Carlos Ruiz</v>
      </c>
      <c r="D162" t="str">
        <f>PROPER(TRIM(Dataset_con_Errores!D162))</f>
        <v>Bogotá</v>
      </c>
      <c r="E162" t="str">
        <f>IF(Dataset_con_Errores!E162="","Sin especificar",Dataset_con_Errores!E162)</f>
        <v>Monitor</v>
      </c>
      <c r="F162">
        <f>IF(Dataset_con_Errores!F162&lt;=0,1,Dataset_con_Errores!F162)</f>
        <v>1</v>
      </c>
      <c r="G162">
        <f>Dataset_con_Errores!G162</f>
        <v>80</v>
      </c>
      <c r="H162">
        <f t="shared" si="2"/>
        <v>80</v>
      </c>
      <c r="I162" t="str">
        <f>IF(H162=Dataset_con_Errores!H162,"OK","ERROR")</f>
        <v>ERROR</v>
      </c>
    </row>
    <row r="163" spans="1:9" hidden="1" x14ac:dyDescent="0.25">
      <c r="A163">
        <f>Dataset_con_Errores!A163</f>
        <v>162</v>
      </c>
      <c r="B163" s="5" t="str">
        <f>TEXT(Dataset_con_Errores!B163,"dd/mm/yyyy")</f>
        <v>13/02/2026</v>
      </c>
      <c r="C163" t="str">
        <f>IF(Dataset_con_Errores!C163="","Sin Cliente",PROPER(TRIM(Dataset_con_Errores!C163)))</f>
        <v>Juan Perez</v>
      </c>
      <c r="D163" t="str">
        <f>PROPER(TRIM(Dataset_con_Errores!D163))</f>
        <v>Medellín</v>
      </c>
      <c r="E163" t="str">
        <f>IF(Dataset_con_Errores!E163="","Sin especificar",Dataset_con_Errores!E163)</f>
        <v>Mouse</v>
      </c>
      <c r="F163">
        <f>IF(Dataset_con_Errores!F163&lt;=0,1,Dataset_con_Errores!F163)</f>
        <v>4</v>
      </c>
      <c r="G163">
        <f>Dataset_con_Errores!G163</f>
        <v>50</v>
      </c>
      <c r="H163">
        <f t="shared" si="2"/>
        <v>200</v>
      </c>
      <c r="I163" t="str">
        <f>IF(H163=Dataset_con_Errores!H163,"OK","ERROR")</f>
        <v>ERROR</v>
      </c>
    </row>
    <row r="164" spans="1:9" hidden="1" x14ac:dyDescent="0.25">
      <c r="A164">
        <f>Dataset_con_Errores!A164</f>
        <v>163</v>
      </c>
      <c r="B164" s="5" t="str">
        <f>TEXT(Dataset_con_Errores!B164,"dd/mm/yyyy")</f>
        <v>04-Jan-26</v>
      </c>
      <c r="C164" t="str">
        <f>IF(Dataset_con_Errores!C164="","Sin Cliente",PROPER(TRIM(Dataset_con_Errores!C164)))</f>
        <v>Ana Torres</v>
      </c>
      <c r="D164" t="str">
        <f>PROPER(TRIM(Dataset_con_Errores!D164))</f>
        <v>Medellin</v>
      </c>
      <c r="E164" t="str">
        <f>IF(Dataset_con_Errores!E164="","Sin especificar",Dataset_con_Errores!E164)</f>
        <v>Monitor</v>
      </c>
      <c r="F164">
        <f>IF(Dataset_con_Errores!F164&lt;=0,1,Dataset_con_Errores!F164)</f>
        <v>5</v>
      </c>
      <c r="G164">
        <f>Dataset_con_Errores!G164</f>
        <v>700</v>
      </c>
      <c r="H164">
        <f t="shared" si="2"/>
        <v>3500</v>
      </c>
      <c r="I164" t="str">
        <f>IF(H164=Dataset_con_Errores!H164,"OK","ERROR")</f>
        <v>ERROR</v>
      </c>
    </row>
    <row r="165" spans="1:9" x14ac:dyDescent="0.25">
      <c r="A165">
        <f>Dataset_con_Errores!A165</f>
        <v>164</v>
      </c>
      <c r="B165" s="5" t="str">
        <f>TEXT(Dataset_con_Errores!B165,"dd/mm/yyyy")</f>
        <v>16/02/2026</v>
      </c>
      <c r="C165" t="str">
        <f>IF(Dataset_con_Errores!C165="","Sin Cliente",PROPER(TRIM(Dataset_con_Errores!C165)))</f>
        <v>Carlos Ruiz</v>
      </c>
      <c r="D165" t="str">
        <f>PROPER(TRIM(Dataset_con_Errores!D165))</f>
        <v>Bogota</v>
      </c>
      <c r="E165" t="str">
        <f>IF(Dataset_con_Errores!E165="","Sin especificar",Dataset_con_Errores!E165)</f>
        <v>Sin especificar</v>
      </c>
      <c r="F165">
        <f>IF(Dataset_con_Errores!F165&lt;=0,1,Dataset_con_Errores!F165)</f>
        <v>1</v>
      </c>
      <c r="G165">
        <f>Dataset_con_Errores!G165</f>
        <v>1500</v>
      </c>
      <c r="H165">
        <f t="shared" si="2"/>
        <v>1500</v>
      </c>
      <c r="I165" t="str">
        <f>IF(H165=Dataset_con_Errores!H165,"OK","ERROR")</f>
        <v>OK</v>
      </c>
    </row>
    <row r="166" spans="1:9" hidden="1" x14ac:dyDescent="0.25">
      <c r="A166">
        <f>Dataset_con_Errores!A166</f>
        <v>165</v>
      </c>
      <c r="B166" s="5" t="str">
        <f>TEXT(Dataset_con_Errores!B166,"dd/mm/yyyy")</f>
        <v>22/01/2026</v>
      </c>
      <c r="C166" t="str">
        <f>IF(Dataset_con_Errores!C166="","Sin Cliente",PROPER(TRIM(Dataset_con_Errores!C166)))</f>
        <v>Juan Perez</v>
      </c>
      <c r="D166" t="str">
        <f>PROPER(TRIM(Dataset_con_Errores!D166))</f>
        <v>Bogota</v>
      </c>
      <c r="E166" t="str">
        <f>IF(Dataset_con_Errores!E166="","Sin especificar",Dataset_con_Errores!E166)</f>
        <v>Mouse</v>
      </c>
      <c r="F166">
        <f>IF(Dataset_con_Errores!F166&lt;=0,1,Dataset_con_Errores!F166)</f>
        <v>1</v>
      </c>
      <c r="G166">
        <f>Dataset_con_Errores!G166</f>
        <v>1500</v>
      </c>
      <c r="H166">
        <f t="shared" si="2"/>
        <v>1500</v>
      </c>
      <c r="I166" t="str">
        <f>IF(H166=Dataset_con_Errores!H166,"OK","ERROR")</f>
        <v>ERROR</v>
      </c>
    </row>
    <row r="167" spans="1:9" hidden="1" x14ac:dyDescent="0.25">
      <c r="A167">
        <f>Dataset_con_Errores!A167</f>
        <v>166</v>
      </c>
      <c r="B167" s="5" t="str">
        <f>TEXT(Dataset_con_Errores!B167,"dd/mm/yyyy")</f>
        <v>19/03/2026</v>
      </c>
      <c r="C167" t="str">
        <f>IF(Dataset_con_Errores!C167="","Sin Cliente",PROPER(TRIM(Dataset_con_Errores!C167)))</f>
        <v>Sin Cliente</v>
      </c>
      <c r="D167" t="str">
        <f>PROPER(TRIM(Dataset_con_Errores!D167))</f>
        <v>Medellin</v>
      </c>
      <c r="E167" t="str">
        <f>IF(Dataset_con_Errores!E167="","Sin especificar",Dataset_con_Errores!E167)</f>
        <v>Mouse</v>
      </c>
      <c r="F167">
        <f>IF(Dataset_con_Errores!F167&lt;=0,1,Dataset_con_Errores!F167)</f>
        <v>1</v>
      </c>
      <c r="G167">
        <f>Dataset_con_Errores!G167</f>
        <v>700</v>
      </c>
      <c r="H167">
        <f t="shared" si="2"/>
        <v>700</v>
      </c>
      <c r="I167" t="str">
        <f>IF(H167=Dataset_con_Errores!H167,"OK","ERROR")</f>
        <v>ERROR</v>
      </c>
    </row>
    <row r="168" spans="1:9" hidden="1" x14ac:dyDescent="0.25">
      <c r="A168">
        <f>Dataset_con_Errores!A168</f>
        <v>167</v>
      </c>
      <c r="B168" s="5" t="str">
        <f>TEXT(Dataset_con_Errores!B168,"dd/mm/yyyy")</f>
        <v>17/02/2026</v>
      </c>
      <c r="C168" t="str">
        <f>IF(Dataset_con_Errores!C168="","Sin Cliente",PROPER(TRIM(Dataset_con_Errores!C168)))</f>
        <v>Ana Torres</v>
      </c>
      <c r="D168" t="str">
        <f>PROPER(TRIM(Dataset_con_Errores!D168))</f>
        <v>Medellín</v>
      </c>
      <c r="E168" t="str">
        <f>IF(Dataset_con_Errores!E168="","Sin especificar",Dataset_con_Errores!E168)</f>
        <v>Teclado</v>
      </c>
      <c r="F168">
        <f>IF(Dataset_con_Errores!F168&lt;=0,1,Dataset_con_Errores!F168)</f>
        <v>1</v>
      </c>
      <c r="G168">
        <f>Dataset_con_Errores!G168</f>
        <v>1500</v>
      </c>
      <c r="H168">
        <f t="shared" si="2"/>
        <v>1500</v>
      </c>
      <c r="I168" t="str">
        <f>IF(H168=Dataset_con_Errores!H168,"OK","ERROR")</f>
        <v>ERROR</v>
      </c>
    </row>
    <row r="169" spans="1:9" hidden="1" x14ac:dyDescent="0.25">
      <c r="A169">
        <f>Dataset_con_Errores!A169</f>
        <v>168</v>
      </c>
      <c r="B169" s="5" t="str">
        <f>TEXT(Dataset_con_Errores!B169,"dd/mm/yyyy")</f>
        <v>27/03/2026</v>
      </c>
      <c r="C169" t="str">
        <f>IF(Dataset_con_Errores!C169="","Sin Cliente",PROPER(TRIM(Dataset_con_Errores!C169)))</f>
        <v>Ana Torres</v>
      </c>
      <c r="D169" t="str">
        <f>PROPER(TRIM(Dataset_con_Errores!D169))</f>
        <v>Medellín</v>
      </c>
      <c r="E169" t="str">
        <f>IF(Dataset_con_Errores!E169="","Sin especificar",Dataset_con_Errores!E169)</f>
        <v>Laptop</v>
      </c>
      <c r="F169">
        <f>IF(Dataset_con_Errores!F169&lt;=0,1,Dataset_con_Errores!F169)</f>
        <v>2</v>
      </c>
      <c r="G169">
        <f>Dataset_con_Errores!G169</f>
        <v>50</v>
      </c>
      <c r="H169">
        <f t="shared" si="2"/>
        <v>100</v>
      </c>
      <c r="I169" t="str">
        <f>IF(H169=Dataset_con_Errores!H169,"OK","ERROR")</f>
        <v>ERROR</v>
      </c>
    </row>
    <row r="170" spans="1:9" hidden="1" x14ac:dyDescent="0.25">
      <c r="A170">
        <f>Dataset_con_Errores!A170</f>
        <v>169</v>
      </c>
      <c r="B170" s="5" t="str">
        <f>TEXT(Dataset_con_Errores!B170,"dd/mm/yyyy")</f>
        <v>02/01/2026</v>
      </c>
      <c r="C170" t="str">
        <f>IF(Dataset_con_Errores!C170="","Sin Cliente",PROPER(TRIM(Dataset_con_Errores!C170)))</f>
        <v>Carlos Ruiz</v>
      </c>
      <c r="D170" t="str">
        <f>PROPER(TRIM(Dataset_con_Errores!D170))</f>
        <v>Bogotá</v>
      </c>
      <c r="E170" t="str">
        <f>IF(Dataset_con_Errores!E170="","Sin especificar",Dataset_con_Errores!E170)</f>
        <v>Sin especificar</v>
      </c>
      <c r="F170">
        <f>IF(Dataset_con_Errores!F170&lt;=0,1,Dataset_con_Errores!F170)</f>
        <v>1</v>
      </c>
      <c r="G170">
        <f>Dataset_con_Errores!G170</f>
        <v>1500</v>
      </c>
      <c r="H170">
        <f t="shared" si="2"/>
        <v>1500</v>
      </c>
      <c r="I170" t="str">
        <f>IF(H170=Dataset_con_Errores!H170,"OK","ERROR")</f>
        <v>ERROR</v>
      </c>
    </row>
    <row r="171" spans="1:9" hidden="1" x14ac:dyDescent="0.25">
      <c r="A171">
        <f>Dataset_con_Errores!A171</f>
        <v>170</v>
      </c>
      <c r="B171" s="5" t="str">
        <f>TEXT(Dataset_con_Errores!B171,"dd/mm/yyyy")</f>
        <v>20/01/2026</v>
      </c>
      <c r="C171" t="str">
        <f>IF(Dataset_con_Errores!C171="","Sin Cliente",PROPER(TRIM(Dataset_con_Errores!C171)))</f>
        <v>Maria Lopez</v>
      </c>
      <c r="D171" t="str">
        <f>PROPER(TRIM(Dataset_con_Errores!D171))</f>
        <v>Bogota</v>
      </c>
      <c r="E171" t="str">
        <f>IF(Dataset_con_Errores!E171="","Sin especificar",Dataset_con_Errores!E171)</f>
        <v>Laptop</v>
      </c>
      <c r="F171">
        <f>IF(Dataset_con_Errores!F171&lt;=0,1,Dataset_con_Errores!F171)</f>
        <v>1</v>
      </c>
      <c r="G171">
        <f>Dataset_con_Errores!G171</f>
        <v>1500</v>
      </c>
      <c r="H171">
        <f t="shared" si="2"/>
        <v>1500</v>
      </c>
      <c r="I171" t="str">
        <f>IF(H171=Dataset_con_Errores!H171,"OK","ERROR")</f>
        <v>ERROR</v>
      </c>
    </row>
    <row r="172" spans="1:9" hidden="1" x14ac:dyDescent="0.25">
      <c r="A172">
        <f>Dataset_con_Errores!A172</f>
        <v>171</v>
      </c>
      <c r="B172" s="5" t="str">
        <f>TEXT(Dataset_con_Errores!B172,"dd/mm/yyyy")</f>
        <v>02/02/2026</v>
      </c>
      <c r="C172" t="str">
        <f>IF(Dataset_con_Errores!C172="","Sin Cliente",PROPER(TRIM(Dataset_con_Errores!C172)))</f>
        <v>Ana Torres</v>
      </c>
      <c r="D172" t="str">
        <f>PROPER(TRIM(Dataset_con_Errores!D172))</f>
        <v>Bogota</v>
      </c>
      <c r="E172" t="str">
        <f>IF(Dataset_con_Errores!E172="","Sin especificar",Dataset_con_Errores!E172)</f>
        <v>Mouse</v>
      </c>
      <c r="F172">
        <f>IF(Dataset_con_Errores!F172&lt;=0,1,Dataset_con_Errores!F172)</f>
        <v>1</v>
      </c>
      <c r="G172">
        <f>Dataset_con_Errores!G172</f>
        <v>80</v>
      </c>
      <c r="H172">
        <f t="shared" si="2"/>
        <v>80</v>
      </c>
      <c r="I172" t="str">
        <f>IF(H172=Dataset_con_Errores!H172,"OK","ERROR")</f>
        <v>ERROR</v>
      </c>
    </row>
    <row r="173" spans="1:9" hidden="1" x14ac:dyDescent="0.25">
      <c r="A173">
        <f>Dataset_con_Errores!A173</f>
        <v>172</v>
      </c>
      <c r="B173" s="5" t="str">
        <f>TEXT(Dataset_con_Errores!B173,"dd/mm/yyyy")</f>
        <v>23/02/2026</v>
      </c>
      <c r="C173" t="str">
        <f>IF(Dataset_con_Errores!C173="","Sin Cliente",PROPER(TRIM(Dataset_con_Errores!C173)))</f>
        <v>Carlos Ruiz</v>
      </c>
      <c r="D173" t="str">
        <f>PROPER(TRIM(Dataset_con_Errores!D173))</f>
        <v>Bogota</v>
      </c>
      <c r="E173" t="str">
        <f>IF(Dataset_con_Errores!E173="","Sin especificar",Dataset_con_Errores!E173)</f>
        <v>Sin especificar</v>
      </c>
      <c r="F173">
        <f>IF(Dataset_con_Errores!F173&lt;=0,1,Dataset_con_Errores!F173)</f>
        <v>1</v>
      </c>
      <c r="G173">
        <f>Dataset_con_Errores!G173</f>
        <v>1500</v>
      </c>
      <c r="H173">
        <f t="shared" si="2"/>
        <v>1500</v>
      </c>
      <c r="I173" t="str">
        <f>IF(H173=Dataset_con_Errores!H173,"OK","ERROR")</f>
        <v>ERROR</v>
      </c>
    </row>
    <row r="174" spans="1:9" x14ac:dyDescent="0.25">
      <c r="A174">
        <f>Dataset_con_Errores!A174</f>
        <v>173</v>
      </c>
      <c r="B174" s="5" t="str">
        <f>TEXT(Dataset_con_Errores!B174,"dd/mm/yyyy")</f>
        <v>27/02/2026</v>
      </c>
      <c r="C174" t="str">
        <f>IF(Dataset_con_Errores!C174="","Sin Cliente",PROPER(TRIM(Dataset_con_Errores!C174)))</f>
        <v>Sin Cliente</v>
      </c>
      <c r="D174" t="str">
        <f>PROPER(TRIM(Dataset_con_Errores!D174))</f>
        <v>Bogotá</v>
      </c>
      <c r="E174" t="str">
        <f>IF(Dataset_con_Errores!E174="","Sin especificar",Dataset_con_Errores!E174)</f>
        <v>Teclado</v>
      </c>
      <c r="F174">
        <f>IF(Dataset_con_Errores!F174&lt;=0,1,Dataset_con_Errores!F174)</f>
        <v>4</v>
      </c>
      <c r="G174">
        <f>Dataset_con_Errores!G174</f>
        <v>50</v>
      </c>
      <c r="H174">
        <f t="shared" si="2"/>
        <v>200</v>
      </c>
      <c r="I174" t="str">
        <f>IF(H174=Dataset_con_Errores!H174,"OK","ERROR")</f>
        <v>OK</v>
      </c>
    </row>
    <row r="175" spans="1:9" x14ac:dyDescent="0.25">
      <c r="A175">
        <f>Dataset_con_Errores!A175</f>
        <v>174</v>
      </c>
      <c r="B175" s="5" t="str">
        <f>TEXT(Dataset_con_Errores!B175,"dd/mm/yyyy")</f>
        <v>23/02/2026</v>
      </c>
      <c r="C175" t="str">
        <f>IF(Dataset_con_Errores!C175="","Sin Cliente",PROPER(TRIM(Dataset_con_Errores!C175)))</f>
        <v>Juan Perez</v>
      </c>
      <c r="D175" t="str">
        <f>PROPER(TRIM(Dataset_con_Errores!D175))</f>
        <v>Bogotá</v>
      </c>
      <c r="E175" t="str">
        <f>IF(Dataset_con_Errores!E175="","Sin especificar",Dataset_con_Errores!E175)</f>
        <v>Laptop</v>
      </c>
      <c r="F175">
        <f>IF(Dataset_con_Errores!F175&lt;=0,1,Dataset_con_Errores!F175)</f>
        <v>2</v>
      </c>
      <c r="G175">
        <f>Dataset_con_Errores!G175</f>
        <v>700</v>
      </c>
      <c r="H175">
        <f t="shared" si="2"/>
        <v>1400</v>
      </c>
      <c r="I175" t="str">
        <f>IF(H175=Dataset_con_Errores!H175,"OK","ERROR")</f>
        <v>OK</v>
      </c>
    </row>
    <row r="176" spans="1:9" hidden="1" x14ac:dyDescent="0.25">
      <c r="A176">
        <f>Dataset_con_Errores!A176</f>
        <v>175</v>
      </c>
      <c r="B176" s="5" t="str">
        <f>TEXT(Dataset_con_Errores!B176,"dd/mm/yyyy")</f>
        <v>12-Jan-26</v>
      </c>
      <c r="C176" t="str">
        <f>IF(Dataset_con_Errores!C176="","Sin Cliente",PROPER(TRIM(Dataset_con_Errores!C176)))</f>
        <v>Juan Perez</v>
      </c>
      <c r="D176" t="str">
        <f>PROPER(TRIM(Dataset_con_Errores!D176))</f>
        <v>Bogotá</v>
      </c>
      <c r="E176" t="str">
        <f>IF(Dataset_con_Errores!E176="","Sin especificar",Dataset_con_Errores!E176)</f>
        <v>Laptop</v>
      </c>
      <c r="F176">
        <f>IF(Dataset_con_Errores!F176&lt;=0,1,Dataset_con_Errores!F176)</f>
        <v>1</v>
      </c>
      <c r="G176">
        <f>Dataset_con_Errores!G176</f>
        <v>700</v>
      </c>
      <c r="H176">
        <f t="shared" si="2"/>
        <v>700</v>
      </c>
      <c r="I176" t="str">
        <f>IF(H176=Dataset_con_Errores!H176,"OK","ERROR")</f>
        <v>ERROR</v>
      </c>
    </row>
    <row r="177" spans="1:9" hidden="1" x14ac:dyDescent="0.25">
      <c r="A177">
        <f>Dataset_con_Errores!A177</f>
        <v>176</v>
      </c>
      <c r="B177" s="5" t="str">
        <f>TEXT(Dataset_con_Errores!B177,"dd/mm/yyyy")</f>
        <v>24/02/2026</v>
      </c>
      <c r="C177" t="str">
        <f>IF(Dataset_con_Errores!C177="","Sin Cliente",PROPER(TRIM(Dataset_con_Errores!C177)))</f>
        <v>Juan Perez</v>
      </c>
      <c r="D177" t="str">
        <f>PROPER(TRIM(Dataset_con_Errores!D177))</f>
        <v>Bogotá</v>
      </c>
      <c r="E177" t="str">
        <f>IF(Dataset_con_Errores!E177="","Sin especificar",Dataset_con_Errores!E177)</f>
        <v>Sin especificar</v>
      </c>
      <c r="F177">
        <f>IF(Dataset_con_Errores!F177&lt;=0,1,Dataset_con_Errores!F177)</f>
        <v>1</v>
      </c>
      <c r="G177">
        <f>Dataset_con_Errores!G177</f>
        <v>50</v>
      </c>
      <c r="H177">
        <f t="shared" si="2"/>
        <v>50</v>
      </c>
      <c r="I177" t="str">
        <f>IF(H177=Dataset_con_Errores!H177,"OK","ERROR")</f>
        <v>ERROR</v>
      </c>
    </row>
    <row r="178" spans="1:9" hidden="1" x14ac:dyDescent="0.25">
      <c r="A178">
        <f>Dataset_con_Errores!A178</f>
        <v>177</v>
      </c>
      <c r="B178" s="5" t="str">
        <f>TEXT(Dataset_con_Errores!B178,"dd/mm/yyyy")</f>
        <v>08/03/2026</v>
      </c>
      <c r="C178" t="str">
        <f>IF(Dataset_con_Errores!C178="","Sin Cliente",PROPER(TRIM(Dataset_con_Errores!C178)))</f>
        <v>Ana Torres</v>
      </c>
      <c r="D178" t="str">
        <f>PROPER(TRIM(Dataset_con_Errores!D178))</f>
        <v>Medellín</v>
      </c>
      <c r="E178" t="str">
        <f>IF(Dataset_con_Errores!E178="","Sin especificar",Dataset_con_Errores!E178)</f>
        <v>Mouse</v>
      </c>
      <c r="F178">
        <f>IF(Dataset_con_Errores!F178&lt;=0,1,Dataset_con_Errores!F178)</f>
        <v>1</v>
      </c>
      <c r="G178">
        <f>Dataset_con_Errores!G178</f>
        <v>80</v>
      </c>
      <c r="H178">
        <f t="shared" si="2"/>
        <v>80</v>
      </c>
      <c r="I178" t="str">
        <f>IF(H178=Dataset_con_Errores!H178,"OK","ERROR")</f>
        <v>ERROR</v>
      </c>
    </row>
    <row r="179" spans="1:9" hidden="1" x14ac:dyDescent="0.25">
      <c r="A179">
        <f>Dataset_con_Errores!A179</f>
        <v>178</v>
      </c>
      <c r="B179" s="5" t="str">
        <f>TEXT(Dataset_con_Errores!B179,"dd/mm/yyyy")</f>
        <v>13/03/2026</v>
      </c>
      <c r="C179" t="str">
        <f>IF(Dataset_con_Errores!C179="","Sin Cliente",PROPER(TRIM(Dataset_con_Errores!C179)))</f>
        <v>Sin Cliente</v>
      </c>
      <c r="D179" t="str">
        <f>PROPER(TRIM(Dataset_con_Errores!D179))</f>
        <v>Bogota</v>
      </c>
      <c r="E179" t="str">
        <f>IF(Dataset_con_Errores!E179="","Sin especificar",Dataset_con_Errores!E179)</f>
        <v>Mouse</v>
      </c>
      <c r="F179">
        <f>IF(Dataset_con_Errores!F179&lt;=0,1,Dataset_con_Errores!F179)</f>
        <v>1</v>
      </c>
      <c r="G179">
        <f>Dataset_con_Errores!G179</f>
        <v>80</v>
      </c>
      <c r="H179">
        <f t="shared" si="2"/>
        <v>80</v>
      </c>
      <c r="I179" t="str">
        <f>IF(H179=Dataset_con_Errores!H179,"OK","ERROR")</f>
        <v>ERROR</v>
      </c>
    </row>
    <row r="180" spans="1:9" hidden="1" x14ac:dyDescent="0.25">
      <c r="A180">
        <f>Dataset_con_Errores!A180</f>
        <v>179</v>
      </c>
      <c r="B180" s="5" t="str">
        <f>TEXT(Dataset_con_Errores!B180,"dd/mm/yyyy")</f>
        <v>13/02/2026</v>
      </c>
      <c r="C180" t="str">
        <f>IF(Dataset_con_Errores!C180="","Sin Cliente",PROPER(TRIM(Dataset_con_Errores!C180)))</f>
        <v>Carlos Ruiz</v>
      </c>
      <c r="D180" t="str">
        <f>PROPER(TRIM(Dataset_con_Errores!D180))</f>
        <v>Medellín</v>
      </c>
      <c r="E180" t="str">
        <f>IF(Dataset_con_Errores!E180="","Sin especificar",Dataset_con_Errores!E180)</f>
        <v>Mouse</v>
      </c>
      <c r="F180">
        <f>IF(Dataset_con_Errores!F180&lt;=0,1,Dataset_con_Errores!F180)</f>
        <v>1</v>
      </c>
      <c r="G180">
        <f>Dataset_con_Errores!G180</f>
        <v>700</v>
      </c>
      <c r="H180">
        <f t="shared" si="2"/>
        <v>700</v>
      </c>
      <c r="I180" t="str">
        <f>IF(H180=Dataset_con_Errores!H180,"OK","ERROR")</f>
        <v>ERROR</v>
      </c>
    </row>
    <row r="181" spans="1:9" hidden="1" x14ac:dyDescent="0.25">
      <c r="A181">
        <f>Dataset_con_Errores!A181</f>
        <v>180</v>
      </c>
      <c r="B181" s="5" t="str">
        <f>TEXT(Dataset_con_Errores!B181,"dd/mm/yyyy")</f>
        <v>15/02/2026</v>
      </c>
      <c r="C181" t="str">
        <f>IF(Dataset_con_Errores!C181="","Sin Cliente",PROPER(TRIM(Dataset_con_Errores!C181)))</f>
        <v>Ana Torres</v>
      </c>
      <c r="D181" t="str">
        <f>PROPER(TRIM(Dataset_con_Errores!D181))</f>
        <v>Medellín</v>
      </c>
      <c r="E181" t="str">
        <f>IF(Dataset_con_Errores!E181="","Sin especificar",Dataset_con_Errores!E181)</f>
        <v>Laptop</v>
      </c>
      <c r="F181">
        <f>IF(Dataset_con_Errores!F181&lt;=0,1,Dataset_con_Errores!F181)</f>
        <v>1</v>
      </c>
      <c r="G181">
        <f>Dataset_con_Errores!G181</f>
        <v>50</v>
      </c>
      <c r="H181">
        <f t="shared" si="2"/>
        <v>50</v>
      </c>
      <c r="I181" t="str">
        <f>IF(H181=Dataset_con_Errores!H181,"OK","ERROR")</f>
        <v>ERROR</v>
      </c>
    </row>
    <row r="182" spans="1:9" hidden="1" x14ac:dyDescent="0.25">
      <c r="A182">
        <f>Dataset_con_Errores!A182</f>
        <v>181</v>
      </c>
      <c r="B182" s="5" t="str">
        <f>TEXT(Dataset_con_Errores!B182,"dd/mm/yyyy")</f>
        <v>13/02/2026</v>
      </c>
      <c r="C182" t="str">
        <f>IF(Dataset_con_Errores!C182="","Sin Cliente",PROPER(TRIM(Dataset_con_Errores!C182)))</f>
        <v>Ana Torres</v>
      </c>
      <c r="D182" t="str">
        <f>PROPER(TRIM(Dataset_con_Errores!D182))</f>
        <v>Medellin</v>
      </c>
      <c r="E182" t="str">
        <f>IF(Dataset_con_Errores!E182="","Sin especificar",Dataset_con_Errores!E182)</f>
        <v>Monitor</v>
      </c>
      <c r="F182">
        <f>IF(Dataset_con_Errores!F182&lt;=0,1,Dataset_con_Errores!F182)</f>
        <v>1</v>
      </c>
      <c r="G182">
        <f>Dataset_con_Errores!G182</f>
        <v>700</v>
      </c>
      <c r="H182">
        <f t="shared" si="2"/>
        <v>700</v>
      </c>
      <c r="I182" t="str">
        <f>IF(H182=Dataset_con_Errores!H182,"OK","ERROR")</f>
        <v>ERROR</v>
      </c>
    </row>
    <row r="183" spans="1:9" hidden="1" x14ac:dyDescent="0.25">
      <c r="A183">
        <f>Dataset_con_Errores!A183</f>
        <v>182</v>
      </c>
      <c r="B183" s="5" t="str">
        <f>TEXT(Dataset_con_Errores!B183,"dd/mm/yyyy")</f>
        <v>31/03/2026</v>
      </c>
      <c r="C183" t="str">
        <f>IF(Dataset_con_Errores!C183="","Sin Cliente",PROPER(TRIM(Dataset_con_Errores!C183)))</f>
        <v>Carlos Ruiz</v>
      </c>
      <c r="D183" t="str">
        <f>PROPER(TRIM(Dataset_con_Errores!D183))</f>
        <v>Medellin</v>
      </c>
      <c r="E183" t="str">
        <f>IF(Dataset_con_Errores!E183="","Sin especificar",Dataset_con_Errores!E183)</f>
        <v>Sin especificar</v>
      </c>
      <c r="F183">
        <f>IF(Dataset_con_Errores!F183&lt;=0,1,Dataset_con_Errores!F183)</f>
        <v>1</v>
      </c>
      <c r="G183">
        <f>Dataset_con_Errores!G183</f>
        <v>50</v>
      </c>
      <c r="H183">
        <f t="shared" si="2"/>
        <v>50</v>
      </c>
      <c r="I183" t="str">
        <f>IF(H183=Dataset_con_Errores!H183,"OK","ERROR")</f>
        <v>ERROR</v>
      </c>
    </row>
    <row r="184" spans="1:9" hidden="1" x14ac:dyDescent="0.25">
      <c r="A184">
        <f>Dataset_con_Errores!A184</f>
        <v>183</v>
      </c>
      <c r="B184" s="5" t="str">
        <f>TEXT(Dataset_con_Errores!B184,"dd/mm/yyyy")</f>
        <v>15/01/2026</v>
      </c>
      <c r="C184" t="str">
        <f>IF(Dataset_con_Errores!C184="","Sin Cliente",PROPER(TRIM(Dataset_con_Errores!C184)))</f>
        <v>Ana Torres</v>
      </c>
      <c r="D184" t="str">
        <f>PROPER(TRIM(Dataset_con_Errores!D184))</f>
        <v>Medellín</v>
      </c>
      <c r="E184" t="str">
        <f>IF(Dataset_con_Errores!E184="","Sin especificar",Dataset_con_Errores!E184)</f>
        <v>Laptop</v>
      </c>
      <c r="F184">
        <f>IF(Dataset_con_Errores!F184&lt;=0,1,Dataset_con_Errores!F184)</f>
        <v>1</v>
      </c>
      <c r="G184">
        <f>Dataset_con_Errores!G184</f>
        <v>1500</v>
      </c>
      <c r="H184">
        <f t="shared" si="2"/>
        <v>1500</v>
      </c>
      <c r="I184" t="str">
        <f>IF(H184=Dataset_con_Errores!H184,"OK","ERROR")</f>
        <v>ERROR</v>
      </c>
    </row>
    <row r="185" spans="1:9" hidden="1" x14ac:dyDescent="0.25">
      <c r="A185">
        <f>Dataset_con_Errores!A185</f>
        <v>184</v>
      </c>
      <c r="B185" s="5" t="str">
        <f>TEXT(Dataset_con_Errores!B185,"dd/mm/yyyy")</f>
        <v>24-Jan-26</v>
      </c>
      <c r="C185" t="str">
        <f>IF(Dataset_con_Errores!C185="","Sin Cliente",PROPER(TRIM(Dataset_con_Errores!C185)))</f>
        <v>Maria Lopez</v>
      </c>
      <c r="D185" t="str">
        <f>PROPER(TRIM(Dataset_con_Errores!D185))</f>
        <v>Bogotá</v>
      </c>
      <c r="E185" t="str">
        <f>IF(Dataset_con_Errores!E185="","Sin especificar",Dataset_con_Errores!E185)</f>
        <v>Monitor</v>
      </c>
      <c r="F185">
        <f>IF(Dataset_con_Errores!F185&lt;=0,1,Dataset_con_Errores!F185)</f>
        <v>1</v>
      </c>
      <c r="G185">
        <f>Dataset_con_Errores!G185</f>
        <v>80</v>
      </c>
      <c r="H185">
        <f t="shared" si="2"/>
        <v>80</v>
      </c>
      <c r="I185" t="str">
        <f>IF(H185=Dataset_con_Errores!H185,"OK","ERROR")</f>
        <v>ERROR</v>
      </c>
    </row>
    <row r="186" spans="1:9" hidden="1" x14ac:dyDescent="0.25">
      <c r="A186">
        <f>Dataset_con_Errores!A186</f>
        <v>185</v>
      </c>
      <c r="B186" s="5" t="str">
        <f>TEXT(Dataset_con_Errores!B186,"dd/mm/yyyy")</f>
        <v>19/03/2026</v>
      </c>
      <c r="C186" t="str">
        <f>IF(Dataset_con_Errores!C186="","Sin Cliente",PROPER(TRIM(Dataset_con_Errores!C186)))</f>
        <v>Ana Torres</v>
      </c>
      <c r="D186" t="str">
        <f>PROPER(TRIM(Dataset_con_Errores!D186))</f>
        <v>Medellín</v>
      </c>
      <c r="E186" t="str">
        <f>IF(Dataset_con_Errores!E186="","Sin especificar",Dataset_con_Errores!E186)</f>
        <v>Sin especificar</v>
      </c>
      <c r="F186">
        <f>IF(Dataset_con_Errores!F186&lt;=0,1,Dataset_con_Errores!F186)</f>
        <v>1</v>
      </c>
      <c r="G186">
        <f>Dataset_con_Errores!G186</f>
        <v>1500</v>
      </c>
      <c r="H186">
        <f t="shared" si="2"/>
        <v>1500</v>
      </c>
      <c r="I186" t="str">
        <f>IF(H186=Dataset_con_Errores!H186,"OK","ERROR")</f>
        <v>ERROR</v>
      </c>
    </row>
    <row r="187" spans="1:9" hidden="1" x14ac:dyDescent="0.25">
      <c r="A187">
        <f>Dataset_con_Errores!A187</f>
        <v>186</v>
      </c>
      <c r="B187" s="5" t="str">
        <f>TEXT(Dataset_con_Errores!B187,"dd/mm/yyyy")</f>
        <v>13/01/2026</v>
      </c>
      <c r="C187" t="str">
        <f>IF(Dataset_con_Errores!C187="","Sin Cliente",PROPER(TRIM(Dataset_con_Errores!C187)))</f>
        <v>Ana Torres</v>
      </c>
      <c r="D187" t="str">
        <f>PROPER(TRIM(Dataset_con_Errores!D187))</f>
        <v>Bogota</v>
      </c>
      <c r="E187" t="str">
        <f>IF(Dataset_con_Errores!E187="","Sin especificar",Dataset_con_Errores!E187)</f>
        <v>Mouse</v>
      </c>
      <c r="F187">
        <f>IF(Dataset_con_Errores!F187&lt;=0,1,Dataset_con_Errores!F187)</f>
        <v>1</v>
      </c>
      <c r="G187">
        <f>Dataset_con_Errores!G187</f>
        <v>700</v>
      </c>
      <c r="H187">
        <f t="shared" si="2"/>
        <v>700</v>
      </c>
      <c r="I187" t="str">
        <f>IF(H187=Dataset_con_Errores!H187,"OK","ERROR")</f>
        <v>ERROR</v>
      </c>
    </row>
    <row r="188" spans="1:9" x14ac:dyDescent="0.25">
      <c r="A188">
        <f>Dataset_con_Errores!A188</f>
        <v>187</v>
      </c>
      <c r="B188" s="5" t="str">
        <f>TEXT(Dataset_con_Errores!B188,"dd/mm/yyyy")</f>
        <v>29/01/2026</v>
      </c>
      <c r="C188" t="str">
        <f>IF(Dataset_con_Errores!C188="","Sin Cliente",PROPER(TRIM(Dataset_con_Errores!C188)))</f>
        <v>Juan Perez</v>
      </c>
      <c r="D188" t="str">
        <f>PROPER(TRIM(Dataset_con_Errores!D188))</f>
        <v>Bogotá</v>
      </c>
      <c r="E188" t="str">
        <f>IF(Dataset_con_Errores!E188="","Sin especificar",Dataset_con_Errores!E188)</f>
        <v>Monitor</v>
      </c>
      <c r="F188">
        <f>IF(Dataset_con_Errores!F188&lt;=0,1,Dataset_con_Errores!F188)</f>
        <v>5</v>
      </c>
      <c r="G188">
        <f>Dataset_con_Errores!G188</f>
        <v>700</v>
      </c>
      <c r="H188">
        <f t="shared" si="2"/>
        <v>3500</v>
      </c>
      <c r="I188" t="str">
        <f>IF(H188=Dataset_con_Errores!H188,"OK","ERROR")</f>
        <v>OK</v>
      </c>
    </row>
    <row r="189" spans="1:9" x14ac:dyDescent="0.25">
      <c r="A189">
        <f>Dataset_con_Errores!A189</f>
        <v>188</v>
      </c>
      <c r="B189" s="5" t="str">
        <f>TEXT(Dataset_con_Errores!B189,"dd/mm/yyyy")</f>
        <v>08/02/2026</v>
      </c>
      <c r="C189" t="str">
        <f>IF(Dataset_con_Errores!C189="","Sin Cliente",PROPER(TRIM(Dataset_con_Errores!C189)))</f>
        <v>Ana Torres</v>
      </c>
      <c r="D189" t="str">
        <f>PROPER(TRIM(Dataset_con_Errores!D189))</f>
        <v>Bogotá</v>
      </c>
      <c r="E189" t="str">
        <f>IF(Dataset_con_Errores!E189="","Sin especificar",Dataset_con_Errores!E189)</f>
        <v>Sin especificar</v>
      </c>
      <c r="F189">
        <f>IF(Dataset_con_Errores!F189&lt;=0,1,Dataset_con_Errores!F189)</f>
        <v>2</v>
      </c>
      <c r="G189">
        <f>Dataset_con_Errores!G189</f>
        <v>80</v>
      </c>
      <c r="H189">
        <f t="shared" si="2"/>
        <v>160</v>
      </c>
      <c r="I189" t="str">
        <f>IF(H189=Dataset_con_Errores!H189,"OK","ERROR")</f>
        <v>OK</v>
      </c>
    </row>
    <row r="190" spans="1:9" hidden="1" x14ac:dyDescent="0.25">
      <c r="A190">
        <f>Dataset_con_Errores!A190</f>
        <v>189</v>
      </c>
      <c r="B190" s="5" t="str">
        <f>TEXT(Dataset_con_Errores!B190,"dd/mm/yyyy")</f>
        <v>09/02/2026</v>
      </c>
      <c r="C190" t="str">
        <f>IF(Dataset_con_Errores!C190="","Sin Cliente",PROPER(TRIM(Dataset_con_Errores!C190)))</f>
        <v>Juan Perez</v>
      </c>
      <c r="D190" t="str">
        <f>PROPER(TRIM(Dataset_con_Errores!D190))</f>
        <v>Medellin</v>
      </c>
      <c r="E190" t="str">
        <f>IF(Dataset_con_Errores!E190="","Sin especificar",Dataset_con_Errores!E190)</f>
        <v>Mouse</v>
      </c>
      <c r="F190">
        <f>IF(Dataset_con_Errores!F190&lt;=0,1,Dataset_con_Errores!F190)</f>
        <v>1</v>
      </c>
      <c r="G190">
        <f>Dataset_con_Errores!G190</f>
        <v>50</v>
      </c>
      <c r="H190">
        <f t="shared" si="2"/>
        <v>50</v>
      </c>
      <c r="I190" t="str">
        <f>IF(H190=Dataset_con_Errores!H190,"OK","ERROR")</f>
        <v>ERROR</v>
      </c>
    </row>
    <row r="191" spans="1:9" hidden="1" x14ac:dyDescent="0.25">
      <c r="A191">
        <f>Dataset_con_Errores!A191</f>
        <v>190</v>
      </c>
      <c r="B191" s="5" t="str">
        <f>TEXT(Dataset_con_Errores!B191,"dd/mm/yyyy")</f>
        <v>20/01/2026</v>
      </c>
      <c r="C191" t="str">
        <f>IF(Dataset_con_Errores!C191="","Sin Cliente",PROPER(TRIM(Dataset_con_Errores!C191)))</f>
        <v>Maria Lopez</v>
      </c>
      <c r="D191" t="str">
        <f>PROPER(TRIM(Dataset_con_Errores!D191))</f>
        <v>Medellín</v>
      </c>
      <c r="E191" t="str">
        <f>IF(Dataset_con_Errores!E191="","Sin especificar",Dataset_con_Errores!E191)</f>
        <v>Monitor</v>
      </c>
      <c r="F191">
        <f>IF(Dataset_con_Errores!F191&lt;=0,1,Dataset_con_Errores!F191)</f>
        <v>1</v>
      </c>
      <c r="G191">
        <f>Dataset_con_Errores!G191</f>
        <v>80</v>
      </c>
      <c r="H191">
        <f t="shared" si="2"/>
        <v>80</v>
      </c>
      <c r="I191" t="str">
        <f>IF(H191=Dataset_con_Errores!H191,"OK","ERROR")</f>
        <v>ERROR</v>
      </c>
    </row>
    <row r="192" spans="1:9" hidden="1" x14ac:dyDescent="0.25">
      <c r="A192">
        <f>Dataset_con_Errores!A192</f>
        <v>191</v>
      </c>
      <c r="B192" s="5" t="str">
        <f>TEXT(Dataset_con_Errores!B192,"dd/mm/yyyy")</f>
        <v>18/03/2026</v>
      </c>
      <c r="C192" t="str">
        <f>IF(Dataset_con_Errores!C192="","Sin Cliente",PROPER(TRIM(Dataset_con_Errores!C192)))</f>
        <v>Ana Torres</v>
      </c>
      <c r="D192" t="str">
        <f>PROPER(TRIM(Dataset_con_Errores!D192))</f>
        <v>Medellín</v>
      </c>
      <c r="E192" t="str">
        <f>IF(Dataset_con_Errores!E192="","Sin especificar",Dataset_con_Errores!E192)</f>
        <v>Teclado</v>
      </c>
      <c r="F192">
        <f>IF(Dataset_con_Errores!F192&lt;=0,1,Dataset_con_Errores!F192)</f>
        <v>1</v>
      </c>
      <c r="G192">
        <f>Dataset_con_Errores!G192</f>
        <v>1500</v>
      </c>
      <c r="H192">
        <f t="shared" si="2"/>
        <v>1500</v>
      </c>
      <c r="I192" t="str">
        <f>IF(H192=Dataset_con_Errores!H192,"OK","ERROR")</f>
        <v>ERROR</v>
      </c>
    </row>
    <row r="193" spans="1:9" x14ac:dyDescent="0.25">
      <c r="A193">
        <f>Dataset_con_Errores!A193</f>
        <v>192</v>
      </c>
      <c r="B193" s="5" t="str">
        <f>TEXT(Dataset_con_Errores!B193,"dd/mm/yyyy")</f>
        <v>28/02/2026</v>
      </c>
      <c r="C193" t="str">
        <f>IF(Dataset_con_Errores!C193="","Sin Cliente",PROPER(TRIM(Dataset_con_Errores!C193)))</f>
        <v>Juan Perez</v>
      </c>
      <c r="D193" t="str">
        <f>PROPER(TRIM(Dataset_con_Errores!D193))</f>
        <v>Bogota</v>
      </c>
      <c r="E193" t="str">
        <f>IF(Dataset_con_Errores!E193="","Sin especificar",Dataset_con_Errores!E193)</f>
        <v>Teclado</v>
      </c>
      <c r="F193">
        <f>IF(Dataset_con_Errores!F193&lt;=0,1,Dataset_con_Errores!F193)</f>
        <v>2</v>
      </c>
      <c r="G193">
        <f>Dataset_con_Errores!G193</f>
        <v>700</v>
      </c>
      <c r="H193">
        <f t="shared" si="2"/>
        <v>1400</v>
      </c>
      <c r="I193" t="str">
        <f>IF(H193=Dataset_con_Errores!H193,"OK","ERROR")</f>
        <v>OK</v>
      </c>
    </row>
    <row r="194" spans="1:9" hidden="1" x14ac:dyDescent="0.25">
      <c r="A194">
        <f>Dataset_con_Errores!A194</f>
        <v>193</v>
      </c>
      <c r="B194" s="5" t="str">
        <f>TEXT(Dataset_con_Errores!B194,"dd/mm/yyyy")</f>
        <v>05/03/2026</v>
      </c>
      <c r="C194" t="str">
        <f>IF(Dataset_con_Errores!C194="","Sin Cliente",PROPER(TRIM(Dataset_con_Errores!C194)))</f>
        <v>Carlos Ruiz</v>
      </c>
      <c r="D194" t="str">
        <f>PROPER(TRIM(Dataset_con_Errores!D194))</f>
        <v>Bogota</v>
      </c>
      <c r="E194" t="str">
        <f>IF(Dataset_con_Errores!E194="","Sin especificar",Dataset_con_Errores!E194)</f>
        <v>Laptop</v>
      </c>
      <c r="F194">
        <f>IF(Dataset_con_Errores!F194&lt;=0,1,Dataset_con_Errores!F194)</f>
        <v>1</v>
      </c>
      <c r="G194">
        <f>Dataset_con_Errores!G194</f>
        <v>700</v>
      </c>
      <c r="H194">
        <f t="shared" ref="H194:H257" si="3">F194*G194</f>
        <v>700</v>
      </c>
      <c r="I194" t="str">
        <f>IF(H194=Dataset_con_Errores!H194,"OK","ERROR")</f>
        <v>ERROR</v>
      </c>
    </row>
    <row r="195" spans="1:9" hidden="1" x14ac:dyDescent="0.25">
      <c r="A195">
        <f>Dataset_con_Errores!A195</f>
        <v>194</v>
      </c>
      <c r="B195" s="5" t="str">
        <f>TEXT(Dataset_con_Errores!B195,"dd/mm/yyyy")</f>
        <v>03/03/2026</v>
      </c>
      <c r="C195" t="str">
        <f>IF(Dataset_con_Errores!C195="","Sin Cliente",PROPER(TRIM(Dataset_con_Errores!C195)))</f>
        <v>Sin Cliente</v>
      </c>
      <c r="D195" t="str">
        <f>PROPER(TRIM(Dataset_con_Errores!D195))</f>
        <v>Bogotá</v>
      </c>
      <c r="E195" t="str">
        <f>IF(Dataset_con_Errores!E195="","Sin especificar",Dataset_con_Errores!E195)</f>
        <v>Sin especificar</v>
      </c>
      <c r="F195">
        <f>IF(Dataset_con_Errores!F195&lt;=0,1,Dataset_con_Errores!F195)</f>
        <v>1</v>
      </c>
      <c r="G195">
        <f>Dataset_con_Errores!G195</f>
        <v>50</v>
      </c>
      <c r="H195">
        <f t="shared" si="3"/>
        <v>50</v>
      </c>
      <c r="I195" t="str">
        <f>IF(H195=Dataset_con_Errores!H195,"OK","ERROR")</f>
        <v>ERROR</v>
      </c>
    </row>
    <row r="196" spans="1:9" hidden="1" x14ac:dyDescent="0.25">
      <c r="A196">
        <f>Dataset_con_Errores!A196</f>
        <v>195</v>
      </c>
      <c r="B196" s="5" t="str">
        <f>TEXT(Dataset_con_Errores!B196,"dd/mm/yyyy")</f>
        <v>07/01/2026</v>
      </c>
      <c r="C196" t="str">
        <f>IF(Dataset_con_Errores!C196="","Sin Cliente",PROPER(TRIM(Dataset_con_Errores!C196)))</f>
        <v>Carlos Ruiz</v>
      </c>
      <c r="D196" t="str">
        <f>PROPER(TRIM(Dataset_con_Errores!D196))</f>
        <v>Medellin</v>
      </c>
      <c r="E196" t="str">
        <f>IF(Dataset_con_Errores!E196="","Sin especificar",Dataset_con_Errores!E196)</f>
        <v>Sin especificar</v>
      </c>
      <c r="F196">
        <f>IF(Dataset_con_Errores!F196&lt;=0,1,Dataset_con_Errores!F196)</f>
        <v>1</v>
      </c>
      <c r="G196">
        <f>Dataset_con_Errores!G196</f>
        <v>50</v>
      </c>
      <c r="H196">
        <f t="shared" si="3"/>
        <v>50</v>
      </c>
      <c r="I196" t="str">
        <f>IF(H196=Dataset_con_Errores!H196,"OK","ERROR")</f>
        <v>ERROR</v>
      </c>
    </row>
    <row r="197" spans="1:9" x14ac:dyDescent="0.25">
      <c r="A197">
        <f>Dataset_con_Errores!A197</f>
        <v>196</v>
      </c>
      <c r="B197" s="5" t="str">
        <f>TEXT(Dataset_con_Errores!B197,"dd/mm/yyyy")</f>
        <v>19/01/2026</v>
      </c>
      <c r="C197" t="str">
        <f>IF(Dataset_con_Errores!C197="","Sin Cliente",PROPER(TRIM(Dataset_con_Errores!C197)))</f>
        <v>Ana Torres</v>
      </c>
      <c r="D197" t="str">
        <f>PROPER(TRIM(Dataset_con_Errores!D197))</f>
        <v>Bogotá</v>
      </c>
      <c r="E197" t="str">
        <f>IF(Dataset_con_Errores!E197="","Sin especificar",Dataset_con_Errores!E197)</f>
        <v>Teclado</v>
      </c>
      <c r="F197">
        <f>IF(Dataset_con_Errores!F197&lt;=0,1,Dataset_con_Errores!F197)</f>
        <v>1</v>
      </c>
      <c r="G197">
        <f>Dataset_con_Errores!G197</f>
        <v>80</v>
      </c>
      <c r="H197">
        <f t="shared" si="3"/>
        <v>80</v>
      </c>
      <c r="I197" t="str">
        <f>IF(H197=Dataset_con_Errores!H197,"OK","ERROR")</f>
        <v>OK</v>
      </c>
    </row>
    <row r="198" spans="1:9" hidden="1" x14ac:dyDescent="0.25">
      <c r="A198">
        <f>Dataset_con_Errores!A198</f>
        <v>197</v>
      </c>
      <c r="B198" s="5" t="str">
        <f>TEXT(Dataset_con_Errores!B198,"dd/mm/yyyy")</f>
        <v>08-Jan-26</v>
      </c>
      <c r="C198" t="str">
        <f>IF(Dataset_con_Errores!C198="","Sin Cliente",PROPER(TRIM(Dataset_con_Errores!C198)))</f>
        <v>Maria Lopez</v>
      </c>
      <c r="D198" t="str">
        <f>PROPER(TRIM(Dataset_con_Errores!D198))</f>
        <v>Bogotá</v>
      </c>
      <c r="E198" t="str">
        <f>IF(Dataset_con_Errores!E198="","Sin especificar",Dataset_con_Errores!E198)</f>
        <v>Sin especificar</v>
      </c>
      <c r="F198">
        <f>IF(Dataset_con_Errores!F198&lt;=0,1,Dataset_con_Errores!F198)</f>
        <v>4</v>
      </c>
      <c r="G198">
        <f>Dataset_con_Errores!G198</f>
        <v>1500</v>
      </c>
      <c r="H198">
        <f t="shared" si="3"/>
        <v>6000</v>
      </c>
      <c r="I198" t="str">
        <f>IF(H198=Dataset_con_Errores!H198,"OK","ERROR")</f>
        <v>ERROR</v>
      </c>
    </row>
    <row r="199" spans="1:9" hidden="1" x14ac:dyDescent="0.25">
      <c r="A199">
        <f>Dataset_con_Errores!A199</f>
        <v>198</v>
      </c>
      <c r="B199" s="5" t="str">
        <f>TEXT(Dataset_con_Errores!B199,"dd/mm/yyyy")</f>
        <v>02-Jan-26</v>
      </c>
      <c r="C199" t="str">
        <f>IF(Dataset_con_Errores!C199="","Sin Cliente",PROPER(TRIM(Dataset_con_Errores!C199)))</f>
        <v>Maria Lopez</v>
      </c>
      <c r="D199" t="str">
        <f>PROPER(TRIM(Dataset_con_Errores!D199))</f>
        <v>Medellin</v>
      </c>
      <c r="E199" t="str">
        <f>IF(Dataset_con_Errores!E199="","Sin especificar",Dataset_con_Errores!E199)</f>
        <v>Laptop</v>
      </c>
      <c r="F199">
        <f>IF(Dataset_con_Errores!F199&lt;=0,1,Dataset_con_Errores!F199)</f>
        <v>1</v>
      </c>
      <c r="G199">
        <f>Dataset_con_Errores!G199</f>
        <v>1500</v>
      </c>
      <c r="H199">
        <f t="shared" si="3"/>
        <v>1500</v>
      </c>
      <c r="I199" t="str">
        <f>IF(H199=Dataset_con_Errores!H199,"OK","ERROR")</f>
        <v>ERROR</v>
      </c>
    </row>
    <row r="200" spans="1:9" hidden="1" x14ac:dyDescent="0.25">
      <c r="A200">
        <f>Dataset_con_Errores!A200</f>
        <v>199</v>
      </c>
      <c r="B200" s="5" t="str">
        <f>TEXT(Dataset_con_Errores!B200,"dd/mm/yyyy")</f>
        <v>02/01/2026</v>
      </c>
      <c r="C200" t="str">
        <f>IF(Dataset_con_Errores!C200="","Sin Cliente",PROPER(TRIM(Dataset_con_Errores!C200)))</f>
        <v>Ana Torres</v>
      </c>
      <c r="D200" t="str">
        <f>PROPER(TRIM(Dataset_con_Errores!D200))</f>
        <v>Bogotá</v>
      </c>
      <c r="E200" t="str">
        <f>IF(Dataset_con_Errores!E200="","Sin especificar",Dataset_con_Errores!E200)</f>
        <v>Laptop</v>
      </c>
      <c r="F200">
        <f>IF(Dataset_con_Errores!F200&lt;=0,1,Dataset_con_Errores!F200)</f>
        <v>1</v>
      </c>
      <c r="G200">
        <f>Dataset_con_Errores!G200</f>
        <v>80</v>
      </c>
      <c r="H200">
        <f t="shared" si="3"/>
        <v>80</v>
      </c>
      <c r="I200" t="str">
        <f>IF(H200=Dataset_con_Errores!H200,"OK","ERROR")</f>
        <v>ERROR</v>
      </c>
    </row>
    <row r="201" spans="1:9" x14ac:dyDescent="0.25">
      <c r="A201">
        <f>Dataset_con_Errores!A201</f>
        <v>200</v>
      </c>
      <c r="B201" s="5" t="str">
        <f>TEXT(Dataset_con_Errores!B201,"dd/mm/yyyy")</f>
        <v>20/01/2026</v>
      </c>
      <c r="C201" t="str">
        <f>IF(Dataset_con_Errores!C201="","Sin Cliente",PROPER(TRIM(Dataset_con_Errores!C201)))</f>
        <v>Ana Torres</v>
      </c>
      <c r="D201" t="str">
        <f>PROPER(TRIM(Dataset_con_Errores!D201))</f>
        <v>Bogotá</v>
      </c>
      <c r="E201" t="str">
        <f>IF(Dataset_con_Errores!E201="","Sin especificar",Dataset_con_Errores!E201)</f>
        <v>Teclado</v>
      </c>
      <c r="F201">
        <f>IF(Dataset_con_Errores!F201&lt;=0,1,Dataset_con_Errores!F201)</f>
        <v>2</v>
      </c>
      <c r="G201">
        <f>Dataset_con_Errores!G201</f>
        <v>50</v>
      </c>
      <c r="H201">
        <f t="shared" si="3"/>
        <v>100</v>
      </c>
      <c r="I201" t="str">
        <f>IF(H201=Dataset_con_Errores!H201,"OK","ERROR")</f>
        <v>OK</v>
      </c>
    </row>
    <row r="202" spans="1:9" x14ac:dyDescent="0.25">
      <c r="A202">
        <f>Dataset_con_Errores!A202</f>
        <v>201</v>
      </c>
      <c r="B202" s="5" t="str">
        <f>TEXT(Dataset_con_Errores!B202,"dd/mm/yyyy")</f>
        <v>21/02/2026</v>
      </c>
      <c r="C202" t="str">
        <f>IF(Dataset_con_Errores!C202="","Sin Cliente",PROPER(TRIM(Dataset_con_Errores!C202)))</f>
        <v>Juan Perez</v>
      </c>
      <c r="D202" t="str">
        <f>PROPER(TRIM(Dataset_con_Errores!D202))</f>
        <v>Bogota</v>
      </c>
      <c r="E202" t="str">
        <f>IF(Dataset_con_Errores!E202="","Sin especificar",Dataset_con_Errores!E202)</f>
        <v>Monitor</v>
      </c>
      <c r="F202">
        <f>IF(Dataset_con_Errores!F202&lt;=0,1,Dataset_con_Errores!F202)</f>
        <v>2</v>
      </c>
      <c r="G202">
        <f>Dataset_con_Errores!G202</f>
        <v>1500</v>
      </c>
      <c r="H202">
        <f t="shared" si="3"/>
        <v>3000</v>
      </c>
      <c r="I202" t="str">
        <f>IF(H202=Dataset_con_Errores!H202,"OK","ERROR")</f>
        <v>OK</v>
      </c>
    </row>
    <row r="203" spans="1:9" hidden="1" x14ac:dyDescent="0.25">
      <c r="A203">
        <f>Dataset_con_Errores!A203</f>
        <v>202</v>
      </c>
      <c r="B203" s="5" t="str">
        <f>TEXT(Dataset_con_Errores!B203,"dd/mm/yyyy")</f>
        <v>01/04/2026</v>
      </c>
      <c r="C203" t="str">
        <f>IF(Dataset_con_Errores!C203="","Sin Cliente",PROPER(TRIM(Dataset_con_Errores!C203)))</f>
        <v>Maria Lopez</v>
      </c>
      <c r="D203" t="str">
        <f>PROPER(TRIM(Dataset_con_Errores!D203))</f>
        <v>Medellín</v>
      </c>
      <c r="E203" t="str">
        <f>IF(Dataset_con_Errores!E203="","Sin especificar",Dataset_con_Errores!E203)</f>
        <v>Mouse</v>
      </c>
      <c r="F203">
        <f>IF(Dataset_con_Errores!F203&lt;=0,1,Dataset_con_Errores!F203)</f>
        <v>1</v>
      </c>
      <c r="G203">
        <f>Dataset_con_Errores!G203</f>
        <v>80</v>
      </c>
      <c r="H203">
        <f t="shared" si="3"/>
        <v>80</v>
      </c>
      <c r="I203" t="str">
        <f>IF(H203=Dataset_con_Errores!H203,"OK","ERROR")</f>
        <v>ERROR</v>
      </c>
    </row>
    <row r="204" spans="1:9" hidden="1" x14ac:dyDescent="0.25">
      <c r="A204">
        <f>Dataset_con_Errores!A204</f>
        <v>203</v>
      </c>
      <c r="B204" s="5" t="str">
        <f>TEXT(Dataset_con_Errores!B204,"dd/mm/yyyy")</f>
        <v>04/01/2026</v>
      </c>
      <c r="C204" t="str">
        <f>IF(Dataset_con_Errores!C204="","Sin Cliente",PROPER(TRIM(Dataset_con_Errores!C204)))</f>
        <v>Sin Cliente</v>
      </c>
      <c r="D204" t="str">
        <f>PROPER(TRIM(Dataset_con_Errores!D204))</f>
        <v>Bogota</v>
      </c>
      <c r="E204" t="str">
        <f>IF(Dataset_con_Errores!E204="","Sin especificar",Dataset_con_Errores!E204)</f>
        <v>Monitor</v>
      </c>
      <c r="F204">
        <f>IF(Dataset_con_Errores!F204&lt;=0,1,Dataset_con_Errores!F204)</f>
        <v>1</v>
      </c>
      <c r="G204">
        <f>Dataset_con_Errores!G204</f>
        <v>700</v>
      </c>
      <c r="H204">
        <f t="shared" si="3"/>
        <v>700</v>
      </c>
      <c r="I204" t="str">
        <f>IF(H204=Dataset_con_Errores!H204,"OK","ERROR")</f>
        <v>ERROR</v>
      </c>
    </row>
    <row r="205" spans="1:9" hidden="1" x14ac:dyDescent="0.25">
      <c r="A205">
        <f>Dataset_con_Errores!A205</f>
        <v>204</v>
      </c>
      <c r="B205" s="5" t="str">
        <f>TEXT(Dataset_con_Errores!B205,"dd/mm/yyyy")</f>
        <v>12/03/2026</v>
      </c>
      <c r="C205" t="str">
        <f>IF(Dataset_con_Errores!C205="","Sin Cliente",PROPER(TRIM(Dataset_con_Errores!C205)))</f>
        <v>Sin Cliente</v>
      </c>
      <c r="D205" t="str">
        <f>PROPER(TRIM(Dataset_con_Errores!D205))</f>
        <v>Bogotá</v>
      </c>
      <c r="E205" t="str">
        <f>IF(Dataset_con_Errores!E205="","Sin especificar",Dataset_con_Errores!E205)</f>
        <v>Teclado</v>
      </c>
      <c r="F205">
        <f>IF(Dataset_con_Errores!F205&lt;=0,1,Dataset_con_Errores!F205)</f>
        <v>1</v>
      </c>
      <c r="G205">
        <f>Dataset_con_Errores!G205</f>
        <v>50</v>
      </c>
      <c r="H205">
        <f t="shared" si="3"/>
        <v>50</v>
      </c>
      <c r="I205" t="str">
        <f>IF(H205=Dataset_con_Errores!H205,"OK","ERROR")</f>
        <v>ERROR</v>
      </c>
    </row>
    <row r="206" spans="1:9" hidden="1" x14ac:dyDescent="0.25">
      <c r="A206">
        <f>Dataset_con_Errores!A206</f>
        <v>205</v>
      </c>
      <c r="B206" s="5" t="str">
        <f>TEXT(Dataset_con_Errores!B206,"dd/mm/yyyy")</f>
        <v>01/02/2026</v>
      </c>
      <c r="C206" t="str">
        <f>IF(Dataset_con_Errores!C206="","Sin Cliente",PROPER(TRIM(Dataset_con_Errores!C206)))</f>
        <v>Sin Cliente</v>
      </c>
      <c r="D206" t="str">
        <f>PROPER(TRIM(Dataset_con_Errores!D206))</f>
        <v>Bogotá</v>
      </c>
      <c r="E206" t="str">
        <f>IF(Dataset_con_Errores!E206="","Sin especificar",Dataset_con_Errores!E206)</f>
        <v>Monitor</v>
      </c>
      <c r="F206">
        <f>IF(Dataset_con_Errores!F206&lt;=0,1,Dataset_con_Errores!F206)</f>
        <v>4</v>
      </c>
      <c r="G206">
        <f>Dataset_con_Errores!G206</f>
        <v>700</v>
      </c>
      <c r="H206">
        <f t="shared" si="3"/>
        <v>2800</v>
      </c>
      <c r="I206" t="str">
        <f>IF(H206=Dataset_con_Errores!H206,"OK","ERROR")</f>
        <v>ERROR</v>
      </c>
    </row>
    <row r="207" spans="1:9" x14ac:dyDescent="0.25">
      <c r="A207">
        <f>Dataset_con_Errores!A207</f>
        <v>206</v>
      </c>
      <c r="B207" s="5" t="str">
        <f>TEXT(Dataset_con_Errores!B207,"dd/mm/yyyy")</f>
        <v>27/02/2026</v>
      </c>
      <c r="C207" t="str">
        <f>IF(Dataset_con_Errores!C207="","Sin Cliente",PROPER(TRIM(Dataset_con_Errores!C207)))</f>
        <v>Maria Lopez</v>
      </c>
      <c r="D207" t="str">
        <f>PROPER(TRIM(Dataset_con_Errores!D207))</f>
        <v>Bogotá</v>
      </c>
      <c r="E207" t="str">
        <f>IF(Dataset_con_Errores!E207="","Sin especificar",Dataset_con_Errores!E207)</f>
        <v>Monitor</v>
      </c>
      <c r="F207">
        <f>IF(Dataset_con_Errores!F207&lt;=0,1,Dataset_con_Errores!F207)</f>
        <v>4</v>
      </c>
      <c r="G207">
        <f>Dataset_con_Errores!G207</f>
        <v>1500</v>
      </c>
      <c r="H207">
        <f t="shared" si="3"/>
        <v>6000</v>
      </c>
      <c r="I207" t="str">
        <f>IF(H207=Dataset_con_Errores!H207,"OK","ERROR")</f>
        <v>OK</v>
      </c>
    </row>
    <row r="208" spans="1:9" hidden="1" x14ac:dyDescent="0.25">
      <c r="A208">
        <f>Dataset_con_Errores!A208</f>
        <v>207</v>
      </c>
      <c r="B208" s="5" t="str">
        <f>TEXT(Dataset_con_Errores!B208,"dd/mm/yyyy")</f>
        <v>14/02/2026</v>
      </c>
      <c r="C208" t="str">
        <f>IF(Dataset_con_Errores!C208="","Sin Cliente",PROPER(TRIM(Dataset_con_Errores!C208)))</f>
        <v>Ana Torres</v>
      </c>
      <c r="D208" t="str">
        <f>PROPER(TRIM(Dataset_con_Errores!D208))</f>
        <v>Bogota</v>
      </c>
      <c r="E208" t="str">
        <f>IF(Dataset_con_Errores!E208="","Sin especificar",Dataset_con_Errores!E208)</f>
        <v>Sin especificar</v>
      </c>
      <c r="F208">
        <f>IF(Dataset_con_Errores!F208&lt;=0,1,Dataset_con_Errores!F208)</f>
        <v>1</v>
      </c>
      <c r="G208">
        <f>Dataset_con_Errores!G208</f>
        <v>700</v>
      </c>
      <c r="H208">
        <f t="shared" si="3"/>
        <v>700</v>
      </c>
      <c r="I208" t="str">
        <f>IF(H208=Dataset_con_Errores!H208,"OK","ERROR")</f>
        <v>ERROR</v>
      </c>
    </row>
    <row r="209" spans="1:9" x14ac:dyDescent="0.25">
      <c r="A209">
        <f>Dataset_con_Errores!A209</f>
        <v>208</v>
      </c>
      <c r="B209" s="5" t="str">
        <f>TEXT(Dataset_con_Errores!B209,"dd/mm/yyyy")</f>
        <v>01/04/2026</v>
      </c>
      <c r="C209" t="str">
        <f>IF(Dataset_con_Errores!C209="","Sin Cliente",PROPER(TRIM(Dataset_con_Errores!C209)))</f>
        <v>Sin Cliente</v>
      </c>
      <c r="D209" t="str">
        <f>PROPER(TRIM(Dataset_con_Errores!D209))</f>
        <v>Bogota</v>
      </c>
      <c r="E209" t="str">
        <f>IF(Dataset_con_Errores!E209="","Sin especificar",Dataset_con_Errores!E209)</f>
        <v>Laptop</v>
      </c>
      <c r="F209">
        <f>IF(Dataset_con_Errores!F209&lt;=0,1,Dataset_con_Errores!F209)</f>
        <v>5</v>
      </c>
      <c r="G209">
        <f>Dataset_con_Errores!G209</f>
        <v>700</v>
      </c>
      <c r="H209">
        <f t="shared" si="3"/>
        <v>3500</v>
      </c>
      <c r="I209" t="str">
        <f>IF(H209=Dataset_con_Errores!H209,"OK","ERROR")</f>
        <v>OK</v>
      </c>
    </row>
    <row r="210" spans="1:9" x14ac:dyDescent="0.25">
      <c r="A210">
        <f>Dataset_con_Errores!A210</f>
        <v>209</v>
      </c>
      <c r="B210" s="5" t="str">
        <f>TEXT(Dataset_con_Errores!B210,"dd/mm/yyyy")</f>
        <v>13/03/2026</v>
      </c>
      <c r="C210" t="str">
        <f>IF(Dataset_con_Errores!C210="","Sin Cliente",PROPER(TRIM(Dataset_con_Errores!C210)))</f>
        <v>Ana Torres</v>
      </c>
      <c r="D210" t="str">
        <f>PROPER(TRIM(Dataset_con_Errores!D210))</f>
        <v>Bogotá</v>
      </c>
      <c r="E210" t="str">
        <f>IF(Dataset_con_Errores!E210="","Sin especificar",Dataset_con_Errores!E210)</f>
        <v>Laptop</v>
      </c>
      <c r="F210">
        <f>IF(Dataset_con_Errores!F210&lt;=0,1,Dataset_con_Errores!F210)</f>
        <v>4</v>
      </c>
      <c r="G210">
        <f>Dataset_con_Errores!G210</f>
        <v>700</v>
      </c>
      <c r="H210">
        <f t="shared" si="3"/>
        <v>2800</v>
      </c>
      <c r="I210" t="str">
        <f>IF(H210=Dataset_con_Errores!H210,"OK","ERROR")</f>
        <v>OK</v>
      </c>
    </row>
    <row r="211" spans="1:9" hidden="1" x14ac:dyDescent="0.25">
      <c r="A211">
        <f>Dataset_con_Errores!A211</f>
        <v>210</v>
      </c>
      <c r="B211" s="5" t="str">
        <f>TEXT(Dataset_con_Errores!B211,"dd/mm/yyyy")</f>
        <v>26/03/2026</v>
      </c>
      <c r="C211" t="str">
        <f>IF(Dataset_con_Errores!C211="","Sin Cliente",PROPER(TRIM(Dataset_con_Errores!C211)))</f>
        <v>Juan Perez</v>
      </c>
      <c r="D211" t="str">
        <f>PROPER(TRIM(Dataset_con_Errores!D211))</f>
        <v>Medellín</v>
      </c>
      <c r="E211" t="str">
        <f>IF(Dataset_con_Errores!E211="","Sin especificar",Dataset_con_Errores!E211)</f>
        <v>Monitor</v>
      </c>
      <c r="F211">
        <f>IF(Dataset_con_Errores!F211&lt;=0,1,Dataset_con_Errores!F211)</f>
        <v>1</v>
      </c>
      <c r="G211">
        <f>Dataset_con_Errores!G211</f>
        <v>80</v>
      </c>
      <c r="H211">
        <f t="shared" si="3"/>
        <v>80</v>
      </c>
      <c r="I211" t="str">
        <f>IF(H211=Dataset_con_Errores!H211,"OK","ERROR")</f>
        <v>ERROR</v>
      </c>
    </row>
    <row r="212" spans="1:9" x14ac:dyDescent="0.25">
      <c r="A212">
        <f>Dataset_con_Errores!A212</f>
        <v>211</v>
      </c>
      <c r="B212" s="5" t="str">
        <f>TEXT(Dataset_con_Errores!B212,"dd/mm/yyyy")</f>
        <v>27-Jan-26</v>
      </c>
      <c r="C212" t="str">
        <f>IF(Dataset_con_Errores!C212="","Sin Cliente",PROPER(TRIM(Dataset_con_Errores!C212)))</f>
        <v>Maria Lopez</v>
      </c>
      <c r="D212" t="str">
        <f>PROPER(TRIM(Dataset_con_Errores!D212))</f>
        <v>Bogotá</v>
      </c>
      <c r="E212" t="str">
        <f>IF(Dataset_con_Errores!E212="","Sin especificar",Dataset_con_Errores!E212)</f>
        <v>Laptop</v>
      </c>
      <c r="F212">
        <f>IF(Dataset_con_Errores!F212&lt;=0,1,Dataset_con_Errores!F212)</f>
        <v>2</v>
      </c>
      <c r="G212">
        <f>Dataset_con_Errores!G212</f>
        <v>700</v>
      </c>
      <c r="H212">
        <f t="shared" si="3"/>
        <v>1400</v>
      </c>
      <c r="I212" t="str">
        <f>IF(H212=Dataset_con_Errores!H212,"OK","ERROR")</f>
        <v>OK</v>
      </c>
    </row>
    <row r="213" spans="1:9" hidden="1" x14ac:dyDescent="0.25">
      <c r="A213">
        <f>Dataset_con_Errores!A213</f>
        <v>212</v>
      </c>
      <c r="B213" s="5" t="str">
        <f>TEXT(Dataset_con_Errores!B213,"dd/mm/yyyy")</f>
        <v>20/02/2026</v>
      </c>
      <c r="C213" t="str">
        <f>IF(Dataset_con_Errores!C213="","Sin Cliente",PROPER(TRIM(Dataset_con_Errores!C213)))</f>
        <v>Ana Torres</v>
      </c>
      <c r="D213" t="str">
        <f>PROPER(TRIM(Dataset_con_Errores!D213))</f>
        <v>Medellin</v>
      </c>
      <c r="E213" t="str">
        <f>IF(Dataset_con_Errores!E213="","Sin especificar",Dataset_con_Errores!E213)</f>
        <v>Laptop</v>
      </c>
      <c r="F213">
        <f>IF(Dataset_con_Errores!F213&lt;=0,1,Dataset_con_Errores!F213)</f>
        <v>4</v>
      </c>
      <c r="G213">
        <f>Dataset_con_Errores!G213</f>
        <v>80</v>
      </c>
      <c r="H213">
        <f t="shared" si="3"/>
        <v>320</v>
      </c>
      <c r="I213" t="str">
        <f>IF(H213=Dataset_con_Errores!H213,"OK","ERROR")</f>
        <v>ERROR</v>
      </c>
    </row>
    <row r="214" spans="1:9" hidden="1" x14ac:dyDescent="0.25">
      <c r="A214">
        <f>Dataset_con_Errores!A214</f>
        <v>213</v>
      </c>
      <c r="B214" s="5" t="str">
        <f>TEXT(Dataset_con_Errores!B214,"dd/mm/yyyy")</f>
        <v>09/01/2026</v>
      </c>
      <c r="C214" t="str">
        <f>IF(Dataset_con_Errores!C214="","Sin Cliente",PROPER(TRIM(Dataset_con_Errores!C214)))</f>
        <v>Ana Torres</v>
      </c>
      <c r="D214" t="str">
        <f>PROPER(TRIM(Dataset_con_Errores!D214))</f>
        <v>Medellín</v>
      </c>
      <c r="E214" t="str">
        <f>IF(Dataset_con_Errores!E214="","Sin especificar",Dataset_con_Errores!E214)</f>
        <v>Mouse</v>
      </c>
      <c r="F214">
        <f>IF(Dataset_con_Errores!F214&lt;=0,1,Dataset_con_Errores!F214)</f>
        <v>1</v>
      </c>
      <c r="G214">
        <f>Dataset_con_Errores!G214</f>
        <v>700</v>
      </c>
      <c r="H214">
        <f t="shared" si="3"/>
        <v>700</v>
      </c>
      <c r="I214" t="str">
        <f>IF(H214=Dataset_con_Errores!H214,"OK","ERROR")</f>
        <v>ERROR</v>
      </c>
    </row>
    <row r="215" spans="1:9" hidden="1" x14ac:dyDescent="0.25">
      <c r="A215">
        <f>Dataset_con_Errores!A215</f>
        <v>214</v>
      </c>
      <c r="B215" s="5" t="str">
        <f>TEXT(Dataset_con_Errores!B215,"dd/mm/yyyy")</f>
        <v>26/02/2026</v>
      </c>
      <c r="C215" t="str">
        <f>IF(Dataset_con_Errores!C215="","Sin Cliente",PROPER(TRIM(Dataset_con_Errores!C215)))</f>
        <v>Maria Lopez</v>
      </c>
      <c r="D215" t="str">
        <f>PROPER(TRIM(Dataset_con_Errores!D215))</f>
        <v>Medellin</v>
      </c>
      <c r="E215" t="str">
        <f>IF(Dataset_con_Errores!E215="","Sin especificar",Dataset_con_Errores!E215)</f>
        <v>Mouse</v>
      </c>
      <c r="F215">
        <f>IF(Dataset_con_Errores!F215&lt;=0,1,Dataset_con_Errores!F215)</f>
        <v>4</v>
      </c>
      <c r="G215">
        <f>Dataset_con_Errores!G215</f>
        <v>1500</v>
      </c>
      <c r="H215">
        <f t="shared" si="3"/>
        <v>6000</v>
      </c>
      <c r="I215" t="str">
        <f>IF(H215=Dataset_con_Errores!H215,"OK","ERROR")</f>
        <v>ERROR</v>
      </c>
    </row>
    <row r="216" spans="1:9" x14ac:dyDescent="0.25">
      <c r="A216">
        <f>Dataset_con_Errores!A216</f>
        <v>215</v>
      </c>
      <c r="B216" s="5" t="str">
        <f>TEXT(Dataset_con_Errores!B216,"dd/mm/yyyy")</f>
        <v>23/02/2026</v>
      </c>
      <c r="C216" t="str">
        <f>IF(Dataset_con_Errores!C216="","Sin Cliente",PROPER(TRIM(Dataset_con_Errores!C216)))</f>
        <v>Sin Cliente</v>
      </c>
      <c r="D216" t="str">
        <f>PROPER(TRIM(Dataset_con_Errores!D216))</f>
        <v>Medellin</v>
      </c>
      <c r="E216" t="str">
        <f>IF(Dataset_con_Errores!E216="","Sin especificar",Dataset_con_Errores!E216)</f>
        <v>Teclado</v>
      </c>
      <c r="F216">
        <f>IF(Dataset_con_Errores!F216&lt;=0,1,Dataset_con_Errores!F216)</f>
        <v>2</v>
      </c>
      <c r="G216">
        <f>Dataset_con_Errores!G216</f>
        <v>50</v>
      </c>
      <c r="H216">
        <f t="shared" si="3"/>
        <v>100</v>
      </c>
      <c r="I216" t="str">
        <f>IF(H216=Dataset_con_Errores!H216,"OK","ERROR")</f>
        <v>OK</v>
      </c>
    </row>
    <row r="217" spans="1:9" x14ac:dyDescent="0.25">
      <c r="A217">
        <f>Dataset_con_Errores!A217</f>
        <v>216</v>
      </c>
      <c r="B217" s="5" t="str">
        <f>TEXT(Dataset_con_Errores!B217,"dd/mm/yyyy")</f>
        <v>24/01/2026</v>
      </c>
      <c r="C217" t="str">
        <f>IF(Dataset_con_Errores!C217="","Sin Cliente",PROPER(TRIM(Dataset_con_Errores!C217)))</f>
        <v>Juan Perez</v>
      </c>
      <c r="D217" t="str">
        <f>PROPER(TRIM(Dataset_con_Errores!D217))</f>
        <v>Medellin</v>
      </c>
      <c r="E217" t="str">
        <f>IF(Dataset_con_Errores!E217="","Sin especificar",Dataset_con_Errores!E217)</f>
        <v>Sin especificar</v>
      </c>
      <c r="F217">
        <f>IF(Dataset_con_Errores!F217&lt;=0,1,Dataset_con_Errores!F217)</f>
        <v>3</v>
      </c>
      <c r="G217">
        <f>Dataset_con_Errores!G217</f>
        <v>80</v>
      </c>
      <c r="H217">
        <f t="shared" si="3"/>
        <v>240</v>
      </c>
      <c r="I217" t="str">
        <f>IF(H217=Dataset_con_Errores!H217,"OK","ERROR")</f>
        <v>OK</v>
      </c>
    </row>
    <row r="218" spans="1:9" x14ac:dyDescent="0.25">
      <c r="A218">
        <f>Dataset_con_Errores!A218</f>
        <v>217</v>
      </c>
      <c r="B218" s="5" t="str">
        <f>TEXT(Dataset_con_Errores!B218,"dd/mm/yyyy")</f>
        <v>12/03/2026</v>
      </c>
      <c r="C218" t="str">
        <f>IF(Dataset_con_Errores!C218="","Sin Cliente",PROPER(TRIM(Dataset_con_Errores!C218)))</f>
        <v>Juan Perez</v>
      </c>
      <c r="D218" t="str">
        <f>PROPER(TRIM(Dataset_con_Errores!D218))</f>
        <v>Medellín</v>
      </c>
      <c r="E218" t="str">
        <f>IF(Dataset_con_Errores!E218="","Sin especificar",Dataset_con_Errores!E218)</f>
        <v>Teclado</v>
      </c>
      <c r="F218">
        <f>IF(Dataset_con_Errores!F218&lt;=0,1,Dataset_con_Errores!F218)</f>
        <v>2</v>
      </c>
      <c r="G218">
        <f>Dataset_con_Errores!G218</f>
        <v>700</v>
      </c>
      <c r="H218">
        <f t="shared" si="3"/>
        <v>1400</v>
      </c>
      <c r="I218" t="str">
        <f>IF(H218=Dataset_con_Errores!H218,"OK","ERROR")</f>
        <v>OK</v>
      </c>
    </row>
    <row r="219" spans="1:9" hidden="1" x14ac:dyDescent="0.25">
      <c r="A219">
        <f>Dataset_con_Errores!A219</f>
        <v>218</v>
      </c>
      <c r="B219" s="5" t="str">
        <f>TEXT(Dataset_con_Errores!B219,"dd/mm/yyyy")</f>
        <v>25/01/2026</v>
      </c>
      <c r="C219" t="str">
        <f>IF(Dataset_con_Errores!C219="","Sin Cliente",PROPER(TRIM(Dataset_con_Errores!C219)))</f>
        <v>Maria Lopez</v>
      </c>
      <c r="D219" t="str">
        <f>PROPER(TRIM(Dataset_con_Errores!D219))</f>
        <v>Bogotá</v>
      </c>
      <c r="E219" t="str">
        <f>IF(Dataset_con_Errores!E219="","Sin especificar",Dataset_con_Errores!E219)</f>
        <v>Mouse</v>
      </c>
      <c r="F219">
        <f>IF(Dataset_con_Errores!F219&lt;=0,1,Dataset_con_Errores!F219)</f>
        <v>5</v>
      </c>
      <c r="G219">
        <f>Dataset_con_Errores!G219</f>
        <v>1500</v>
      </c>
      <c r="H219">
        <f t="shared" si="3"/>
        <v>7500</v>
      </c>
      <c r="I219" t="str">
        <f>IF(H219=Dataset_con_Errores!H219,"OK","ERROR")</f>
        <v>ERROR</v>
      </c>
    </row>
    <row r="220" spans="1:9" hidden="1" x14ac:dyDescent="0.25">
      <c r="A220">
        <f>Dataset_con_Errores!A220</f>
        <v>219</v>
      </c>
      <c r="B220" s="5" t="str">
        <f>TEXT(Dataset_con_Errores!B220,"dd/mm/yyyy")</f>
        <v>08/02/2026</v>
      </c>
      <c r="C220" t="str">
        <f>IF(Dataset_con_Errores!C220="","Sin Cliente",PROPER(TRIM(Dataset_con_Errores!C220)))</f>
        <v>Maria Lopez</v>
      </c>
      <c r="D220" t="str">
        <f>PROPER(TRIM(Dataset_con_Errores!D220))</f>
        <v>Bogotá</v>
      </c>
      <c r="E220" t="str">
        <f>IF(Dataset_con_Errores!E220="","Sin especificar",Dataset_con_Errores!E220)</f>
        <v>Monitor</v>
      </c>
      <c r="F220">
        <f>IF(Dataset_con_Errores!F220&lt;=0,1,Dataset_con_Errores!F220)</f>
        <v>1</v>
      </c>
      <c r="G220">
        <f>Dataset_con_Errores!G220</f>
        <v>50</v>
      </c>
      <c r="H220">
        <f t="shared" si="3"/>
        <v>50</v>
      </c>
      <c r="I220" t="str">
        <f>IF(H220=Dataset_con_Errores!H220,"OK","ERROR")</f>
        <v>ERROR</v>
      </c>
    </row>
    <row r="221" spans="1:9" x14ac:dyDescent="0.25">
      <c r="A221">
        <f>Dataset_con_Errores!A221</f>
        <v>220</v>
      </c>
      <c r="B221" s="5" t="str">
        <f>TEXT(Dataset_con_Errores!B221,"dd/mm/yyyy")</f>
        <v>20/02/2026</v>
      </c>
      <c r="C221" t="str">
        <f>IF(Dataset_con_Errores!C221="","Sin Cliente",PROPER(TRIM(Dataset_con_Errores!C221)))</f>
        <v>Sin Cliente</v>
      </c>
      <c r="D221" t="str">
        <f>PROPER(TRIM(Dataset_con_Errores!D221))</f>
        <v>Medellin</v>
      </c>
      <c r="E221" t="str">
        <f>IF(Dataset_con_Errores!E221="","Sin especificar",Dataset_con_Errores!E221)</f>
        <v>Mouse</v>
      </c>
      <c r="F221">
        <f>IF(Dataset_con_Errores!F221&lt;=0,1,Dataset_con_Errores!F221)</f>
        <v>1</v>
      </c>
      <c r="G221">
        <f>Dataset_con_Errores!G221</f>
        <v>80</v>
      </c>
      <c r="H221">
        <f t="shared" si="3"/>
        <v>80</v>
      </c>
      <c r="I221" t="str">
        <f>IF(H221=Dataset_con_Errores!H221,"OK","ERROR")</f>
        <v>OK</v>
      </c>
    </row>
    <row r="222" spans="1:9" hidden="1" x14ac:dyDescent="0.25">
      <c r="A222">
        <f>Dataset_con_Errores!A222</f>
        <v>221</v>
      </c>
      <c r="B222" s="5" t="str">
        <f>TEXT(Dataset_con_Errores!B222,"dd/mm/yyyy")</f>
        <v>08/01/2026</v>
      </c>
      <c r="C222" t="str">
        <f>IF(Dataset_con_Errores!C222="","Sin Cliente",PROPER(TRIM(Dataset_con_Errores!C222)))</f>
        <v>Sin Cliente</v>
      </c>
      <c r="D222" t="str">
        <f>PROPER(TRIM(Dataset_con_Errores!D222))</f>
        <v>Medellin</v>
      </c>
      <c r="E222" t="str">
        <f>IF(Dataset_con_Errores!E222="","Sin especificar",Dataset_con_Errores!E222)</f>
        <v>Sin especificar</v>
      </c>
      <c r="F222">
        <f>IF(Dataset_con_Errores!F222&lt;=0,1,Dataset_con_Errores!F222)</f>
        <v>1</v>
      </c>
      <c r="G222">
        <f>Dataset_con_Errores!G222</f>
        <v>80</v>
      </c>
      <c r="H222">
        <f t="shared" si="3"/>
        <v>80</v>
      </c>
      <c r="I222" t="str">
        <f>IF(H222=Dataset_con_Errores!H222,"OK","ERROR")</f>
        <v>ERROR</v>
      </c>
    </row>
    <row r="223" spans="1:9" hidden="1" x14ac:dyDescent="0.25">
      <c r="A223">
        <f>Dataset_con_Errores!A223</f>
        <v>222</v>
      </c>
      <c r="B223" s="5" t="str">
        <f>TEXT(Dataset_con_Errores!B223,"dd/mm/yyyy")</f>
        <v>30/03/2026</v>
      </c>
      <c r="C223" t="str">
        <f>IF(Dataset_con_Errores!C223="","Sin Cliente",PROPER(TRIM(Dataset_con_Errores!C223)))</f>
        <v>Juan Perez</v>
      </c>
      <c r="D223" t="str">
        <f>PROPER(TRIM(Dataset_con_Errores!D223))</f>
        <v>Bogotá</v>
      </c>
      <c r="E223" t="str">
        <f>IF(Dataset_con_Errores!E223="","Sin especificar",Dataset_con_Errores!E223)</f>
        <v>Monitor</v>
      </c>
      <c r="F223">
        <f>IF(Dataset_con_Errores!F223&lt;=0,1,Dataset_con_Errores!F223)</f>
        <v>1</v>
      </c>
      <c r="G223">
        <f>Dataset_con_Errores!G223</f>
        <v>50</v>
      </c>
      <c r="H223">
        <f t="shared" si="3"/>
        <v>50</v>
      </c>
      <c r="I223" t="str">
        <f>IF(H223=Dataset_con_Errores!H223,"OK","ERROR")</f>
        <v>ERROR</v>
      </c>
    </row>
    <row r="224" spans="1:9" hidden="1" x14ac:dyDescent="0.25">
      <c r="A224">
        <f>Dataset_con_Errores!A224</f>
        <v>223</v>
      </c>
      <c r="B224" s="5" t="str">
        <f>TEXT(Dataset_con_Errores!B224,"dd/mm/yyyy")</f>
        <v>22/01/2026</v>
      </c>
      <c r="C224" t="str">
        <f>IF(Dataset_con_Errores!C224="","Sin Cliente",PROPER(TRIM(Dataset_con_Errores!C224)))</f>
        <v>Carlos Ruiz</v>
      </c>
      <c r="D224" t="str">
        <f>PROPER(TRIM(Dataset_con_Errores!D224))</f>
        <v>Bogota</v>
      </c>
      <c r="E224" t="str">
        <f>IF(Dataset_con_Errores!E224="","Sin especificar",Dataset_con_Errores!E224)</f>
        <v>Sin especificar</v>
      </c>
      <c r="F224">
        <f>IF(Dataset_con_Errores!F224&lt;=0,1,Dataset_con_Errores!F224)</f>
        <v>1</v>
      </c>
      <c r="G224">
        <f>Dataset_con_Errores!G224</f>
        <v>700</v>
      </c>
      <c r="H224">
        <f t="shared" si="3"/>
        <v>700</v>
      </c>
      <c r="I224" t="str">
        <f>IF(H224=Dataset_con_Errores!H224,"OK","ERROR")</f>
        <v>ERROR</v>
      </c>
    </row>
    <row r="225" spans="1:9" hidden="1" x14ac:dyDescent="0.25">
      <c r="A225">
        <f>Dataset_con_Errores!A225</f>
        <v>224</v>
      </c>
      <c r="B225" s="5" t="str">
        <f>TEXT(Dataset_con_Errores!B225,"dd/mm/yyyy")</f>
        <v>06/03/2026</v>
      </c>
      <c r="C225" t="str">
        <f>IF(Dataset_con_Errores!C225="","Sin Cliente",PROPER(TRIM(Dataset_con_Errores!C225)))</f>
        <v>Maria Lopez</v>
      </c>
      <c r="D225" t="str">
        <f>PROPER(TRIM(Dataset_con_Errores!D225))</f>
        <v>Medellín</v>
      </c>
      <c r="E225" t="str">
        <f>IF(Dataset_con_Errores!E225="","Sin especificar",Dataset_con_Errores!E225)</f>
        <v>Sin especificar</v>
      </c>
      <c r="F225">
        <f>IF(Dataset_con_Errores!F225&lt;=0,1,Dataset_con_Errores!F225)</f>
        <v>1</v>
      </c>
      <c r="G225">
        <f>Dataset_con_Errores!G225</f>
        <v>50</v>
      </c>
      <c r="H225">
        <f t="shared" si="3"/>
        <v>50</v>
      </c>
      <c r="I225" t="str">
        <f>IF(H225=Dataset_con_Errores!H225,"OK","ERROR")</f>
        <v>ERROR</v>
      </c>
    </row>
    <row r="226" spans="1:9" hidden="1" x14ac:dyDescent="0.25">
      <c r="A226">
        <f>Dataset_con_Errores!A226</f>
        <v>225</v>
      </c>
      <c r="B226" s="5" t="str">
        <f>TEXT(Dataset_con_Errores!B226,"dd/mm/yyyy")</f>
        <v>14/03/2026</v>
      </c>
      <c r="C226" t="str">
        <f>IF(Dataset_con_Errores!C226="","Sin Cliente",PROPER(TRIM(Dataset_con_Errores!C226)))</f>
        <v>Sin Cliente</v>
      </c>
      <c r="D226" t="str">
        <f>PROPER(TRIM(Dataset_con_Errores!D226))</f>
        <v>Bogotá</v>
      </c>
      <c r="E226" t="str">
        <f>IF(Dataset_con_Errores!E226="","Sin especificar",Dataset_con_Errores!E226)</f>
        <v>Sin especificar</v>
      </c>
      <c r="F226">
        <f>IF(Dataset_con_Errores!F226&lt;=0,1,Dataset_con_Errores!F226)</f>
        <v>1</v>
      </c>
      <c r="G226">
        <f>Dataset_con_Errores!G226</f>
        <v>700</v>
      </c>
      <c r="H226">
        <f t="shared" si="3"/>
        <v>700</v>
      </c>
      <c r="I226" t="str">
        <f>IF(H226=Dataset_con_Errores!H226,"OK","ERROR")</f>
        <v>ERROR</v>
      </c>
    </row>
    <row r="227" spans="1:9" hidden="1" x14ac:dyDescent="0.25">
      <c r="A227">
        <f>Dataset_con_Errores!A227</f>
        <v>226</v>
      </c>
      <c r="B227" s="5" t="str">
        <f>TEXT(Dataset_con_Errores!B227,"dd/mm/yyyy")</f>
        <v>16/03/2026</v>
      </c>
      <c r="C227" t="str">
        <f>IF(Dataset_con_Errores!C227="","Sin Cliente",PROPER(TRIM(Dataset_con_Errores!C227)))</f>
        <v>Maria Lopez</v>
      </c>
      <c r="D227" t="str">
        <f>PROPER(TRIM(Dataset_con_Errores!D227))</f>
        <v>Bogota</v>
      </c>
      <c r="E227" t="str">
        <f>IF(Dataset_con_Errores!E227="","Sin especificar",Dataset_con_Errores!E227)</f>
        <v>Sin especificar</v>
      </c>
      <c r="F227">
        <f>IF(Dataset_con_Errores!F227&lt;=0,1,Dataset_con_Errores!F227)</f>
        <v>1</v>
      </c>
      <c r="G227">
        <f>Dataset_con_Errores!G227</f>
        <v>1500</v>
      </c>
      <c r="H227">
        <f t="shared" si="3"/>
        <v>1500</v>
      </c>
      <c r="I227" t="str">
        <f>IF(H227=Dataset_con_Errores!H227,"OK","ERROR")</f>
        <v>ERROR</v>
      </c>
    </row>
    <row r="228" spans="1:9" x14ac:dyDescent="0.25">
      <c r="A228">
        <f>Dataset_con_Errores!A228</f>
        <v>227</v>
      </c>
      <c r="B228" s="5" t="str">
        <f>TEXT(Dataset_con_Errores!B228,"dd/mm/yyyy")</f>
        <v>31/03/2026</v>
      </c>
      <c r="C228" t="str">
        <f>IF(Dataset_con_Errores!C228="","Sin Cliente",PROPER(TRIM(Dataset_con_Errores!C228)))</f>
        <v>Juan Perez</v>
      </c>
      <c r="D228" t="str">
        <f>PROPER(TRIM(Dataset_con_Errores!D228))</f>
        <v>Bogotá</v>
      </c>
      <c r="E228" t="str">
        <f>IF(Dataset_con_Errores!E228="","Sin especificar",Dataset_con_Errores!E228)</f>
        <v>Teclado</v>
      </c>
      <c r="F228">
        <f>IF(Dataset_con_Errores!F228&lt;=0,1,Dataset_con_Errores!F228)</f>
        <v>4</v>
      </c>
      <c r="G228">
        <f>Dataset_con_Errores!G228</f>
        <v>700</v>
      </c>
      <c r="H228">
        <f t="shared" si="3"/>
        <v>2800</v>
      </c>
      <c r="I228" t="str">
        <f>IF(H228=Dataset_con_Errores!H228,"OK","ERROR")</f>
        <v>OK</v>
      </c>
    </row>
    <row r="229" spans="1:9" hidden="1" x14ac:dyDescent="0.25">
      <c r="A229">
        <f>Dataset_con_Errores!A229</f>
        <v>228</v>
      </c>
      <c r="B229" s="5" t="str">
        <f>TEXT(Dataset_con_Errores!B229,"dd/mm/yyyy")</f>
        <v>11-Jan-26</v>
      </c>
      <c r="C229" t="str">
        <f>IF(Dataset_con_Errores!C229="","Sin Cliente",PROPER(TRIM(Dataset_con_Errores!C229)))</f>
        <v>Sin Cliente</v>
      </c>
      <c r="D229" t="str">
        <f>PROPER(TRIM(Dataset_con_Errores!D229))</f>
        <v>Medellin</v>
      </c>
      <c r="E229" t="str">
        <f>IF(Dataset_con_Errores!E229="","Sin especificar",Dataset_con_Errores!E229)</f>
        <v>Laptop</v>
      </c>
      <c r="F229">
        <f>IF(Dataset_con_Errores!F229&lt;=0,1,Dataset_con_Errores!F229)</f>
        <v>1</v>
      </c>
      <c r="G229">
        <f>Dataset_con_Errores!G229</f>
        <v>50</v>
      </c>
      <c r="H229">
        <f t="shared" si="3"/>
        <v>50</v>
      </c>
      <c r="I229" t="str">
        <f>IF(H229=Dataset_con_Errores!H229,"OK","ERROR")</f>
        <v>ERROR</v>
      </c>
    </row>
    <row r="230" spans="1:9" x14ac:dyDescent="0.25">
      <c r="A230">
        <f>Dataset_con_Errores!A230</f>
        <v>229</v>
      </c>
      <c r="B230" s="5" t="str">
        <f>TEXT(Dataset_con_Errores!B230,"dd/mm/yyyy")</f>
        <v>18/02/2026</v>
      </c>
      <c r="C230" t="str">
        <f>IF(Dataset_con_Errores!C230="","Sin Cliente",PROPER(TRIM(Dataset_con_Errores!C230)))</f>
        <v>Carlos Ruiz</v>
      </c>
      <c r="D230" t="str">
        <f>PROPER(TRIM(Dataset_con_Errores!D230))</f>
        <v>Bogotá</v>
      </c>
      <c r="E230" t="str">
        <f>IF(Dataset_con_Errores!E230="","Sin especificar",Dataset_con_Errores!E230)</f>
        <v>Monitor</v>
      </c>
      <c r="F230">
        <f>IF(Dataset_con_Errores!F230&lt;=0,1,Dataset_con_Errores!F230)</f>
        <v>5</v>
      </c>
      <c r="G230">
        <f>Dataset_con_Errores!G230</f>
        <v>1500</v>
      </c>
      <c r="H230">
        <f t="shared" si="3"/>
        <v>7500</v>
      </c>
      <c r="I230" t="str">
        <f>IF(H230=Dataset_con_Errores!H230,"OK","ERROR")</f>
        <v>OK</v>
      </c>
    </row>
    <row r="231" spans="1:9" hidden="1" x14ac:dyDescent="0.25">
      <c r="A231">
        <f>Dataset_con_Errores!A231</f>
        <v>230</v>
      </c>
      <c r="B231" s="5" t="str">
        <f>TEXT(Dataset_con_Errores!B231,"dd/mm/yyyy")</f>
        <v>26/03/2026</v>
      </c>
      <c r="C231" t="str">
        <f>IF(Dataset_con_Errores!C231="","Sin Cliente",PROPER(TRIM(Dataset_con_Errores!C231)))</f>
        <v>Maria Lopez</v>
      </c>
      <c r="D231" t="str">
        <f>PROPER(TRIM(Dataset_con_Errores!D231))</f>
        <v>Bogotá</v>
      </c>
      <c r="E231" t="str">
        <f>IF(Dataset_con_Errores!E231="","Sin especificar",Dataset_con_Errores!E231)</f>
        <v>Monitor</v>
      </c>
      <c r="F231">
        <f>IF(Dataset_con_Errores!F231&lt;=0,1,Dataset_con_Errores!F231)</f>
        <v>1</v>
      </c>
      <c r="G231">
        <f>Dataset_con_Errores!G231</f>
        <v>700</v>
      </c>
      <c r="H231">
        <f t="shared" si="3"/>
        <v>700</v>
      </c>
      <c r="I231" t="str">
        <f>IF(H231=Dataset_con_Errores!H231,"OK","ERROR")</f>
        <v>ERROR</v>
      </c>
    </row>
    <row r="232" spans="1:9" hidden="1" x14ac:dyDescent="0.25">
      <c r="A232">
        <f>Dataset_con_Errores!A232</f>
        <v>231</v>
      </c>
      <c r="B232" s="5" t="str">
        <f>TEXT(Dataset_con_Errores!B232,"dd/mm/yyyy")</f>
        <v>22/02/2026</v>
      </c>
      <c r="C232" t="str">
        <f>IF(Dataset_con_Errores!C232="","Sin Cliente",PROPER(TRIM(Dataset_con_Errores!C232)))</f>
        <v>Maria Lopez</v>
      </c>
      <c r="D232" t="str">
        <f>PROPER(TRIM(Dataset_con_Errores!D232))</f>
        <v>Medellin</v>
      </c>
      <c r="E232" t="str">
        <f>IF(Dataset_con_Errores!E232="","Sin especificar",Dataset_con_Errores!E232)</f>
        <v>Monitor</v>
      </c>
      <c r="F232">
        <f>IF(Dataset_con_Errores!F232&lt;=0,1,Dataset_con_Errores!F232)</f>
        <v>1</v>
      </c>
      <c r="G232">
        <f>Dataset_con_Errores!G232</f>
        <v>700</v>
      </c>
      <c r="H232">
        <f t="shared" si="3"/>
        <v>700</v>
      </c>
      <c r="I232" t="str">
        <f>IF(H232=Dataset_con_Errores!H232,"OK","ERROR")</f>
        <v>ERROR</v>
      </c>
    </row>
    <row r="233" spans="1:9" hidden="1" x14ac:dyDescent="0.25">
      <c r="A233">
        <f>Dataset_con_Errores!A233</f>
        <v>232</v>
      </c>
      <c r="B233" s="5" t="str">
        <f>TEXT(Dataset_con_Errores!B233,"dd/mm/yyyy")</f>
        <v>18/02/2026</v>
      </c>
      <c r="C233" t="str">
        <f>IF(Dataset_con_Errores!C233="","Sin Cliente",PROPER(TRIM(Dataset_con_Errores!C233)))</f>
        <v>Juan Perez</v>
      </c>
      <c r="D233" t="str">
        <f>PROPER(TRIM(Dataset_con_Errores!D233))</f>
        <v>Medellin</v>
      </c>
      <c r="E233" t="str">
        <f>IF(Dataset_con_Errores!E233="","Sin especificar",Dataset_con_Errores!E233)</f>
        <v>Mouse</v>
      </c>
      <c r="F233">
        <f>IF(Dataset_con_Errores!F233&lt;=0,1,Dataset_con_Errores!F233)</f>
        <v>1</v>
      </c>
      <c r="G233">
        <f>Dataset_con_Errores!G233</f>
        <v>50</v>
      </c>
      <c r="H233">
        <f t="shared" si="3"/>
        <v>50</v>
      </c>
      <c r="I233" t="str">
        <f>IF(H233=Dataset_con_Errores!H233,"OK","ERROR")</f>
        <v>ERROR</v>
      </c>
    </row>
    <row r="234" spans="1:9" hidden="1" x14ac:dyDescent="0.25">
      <c r="A234">
        <f>Dataset_con_Errores!A234</f>
        <v>233</v>
      </c>
      <c r="B234" s="5" t="str">
        <f>TEXT(Dataset_con_Errores!B234,"dd/mm/yyyy")</f>
        <v>11/02/2026</v>
      </c>
      <c r="C234" t="str">
        <f>IF(Dataset_con_Errores!C234="","Sin Cliente",PROPER(TRIM(Dataset_con_Errores!C234)))</f>
        <v>Maria Lopez</v>
      </c>
      <c r="D234" t="str">
        <f>PROPER(TRIM(Dataset_con_Errores!D234))</f>
        <v>Bogota</v>
      </c>
      <c r="E234" t="str">
        <f>IF(Dataset_con_Errores!E234="","Sin especificar",Dataset_con_Errores!E234)</f>
        <v>Sin especificar</v>
      </c>
      <c r="F234">
        <f>IF(Dataset_con_Errores!F234&lt;=0,1,Dataset_con_Errores!F234)</f>
        <v>1</v>
      </c>
      <c r="G234">
        <f>Dataset_con_Errores!G234</f>
        <v>80</v>
      </c>
      <c r="H234">
        <f t="shared" si="3"/>
        <v>80</v>
      </c>
      <c r="I234" t="str">
        <f>IF(H234=Dataset_con_Errores!H234,"OK","ERROR")</f>
        <v>ERROR</v>
      </c>
    </row>
    <row r="235" spans="1:9" hidden="1" x14ac:dyDescent="0.25">
      <c r="A235">
        <f>Dataset_con_Errores!A235</f>
        <v>234</v>
      </c>
      <c r="B235" s="5" t="str">
        <f>TEXT(Dataset_con_Errores!B235,"dd/mm/yyyy")</f>
        <v>23/03/2026</v>
      </c>
      <c r="C235" t="str">
        <f>IF(Dataset_con_Errores!C235="","Sin Cliente",PROPER(TRIM(Dataset_con_Errores!C235)))</f>
        <v>Ana Torres</v>
      </c>
      <c r="D235" t="str">
        <f>PROPER(TRIM(Dataset_con_Errores!D235))</f>
        <v>Bogota</v>
      </c>
      <c r="E235" t="str">
        <f>IF(Dataset_con_Errores!E235="","Sin especificar",Dataset_con_Errores!E235)</f>
        <v>Mouse</v>
      </c>
      <c r="F235">
        <f>IF(Dataset_con_Errores!F235&lt;=0,1,Dataset_con_Errores!F235)</f>
        <v>1</v>
      </c>
      <c r="G235">
        <f>Dataset_con_Errores!G235</f>
        <v>80</v>
      </c>
      <c r="H235">
        <f t="shared" si="3"/>
        <v>80</v>
      </c>
      <c r="I235" t="str">
        <f>IF(H235=Dataset_con_Errores!H235,"OK","ERROR")</f>
        <v>ERROR</v>
      </c>
    </row>
    <row r="236" spans="1:9" x14ac:dyDescent="0.25">
      <c r="A236">
        <f>Dataset_con_Errores!A236</f>
        <v>235</v>
      </c>
      <c r="B236" s="5" t="str">
        <f>TEXT(Dataset_con_Errores!B236,"dd/mm/yyyy")</f>
        <v>30/03/2026</v>
      </c>
      <c r="C236" t="str">
        <f>IF(Dataset_con_Errores!C236="","Sin Cliente",PROPER(TRIM(Dataset_con_Errores!C236)))</f>
        <v>Juan Perez</v>
      </c>
      <c r="D236" t="str">
        <f>PROPER(TRIM(Dataset_con_Errores!D236))</f>
        <v>Bogotá</v>
      </c>
      <c r="E236" t="str">
        <f>IF(Dataset_con_Errores!E236="","Sin especificar",Dataset_con_Errores!E236)</f>
        <v>Mouse</v>
      </c>
      <c r="F236">
        <f>IF(Dataset_con_Errores!F236&lt;=0,1,Dataset_con_Errores!F236)</f>
        <v>5</v>
      </c>
      <c r="G236">
        <f>Dataset_con_Errores!G236</f>
        <v>700</v>
      </c>
      <c r="H236">
        <f t="shared" si="3"/>
        <v>3500</v>
      </c>
      <c r="I236" t="str">
        <f>IF(H236=Dataset_con_Errores!H236,"OK","ERROR")</f>
        <v>OK</v>
      </c>
    </row>
    <row r="237" spans="1:9" hidden="1" x14ac:dyDescent="0.25">
      <c r="A237">
        <f>Dataset_con_Errores!A237</f>
        <v>236</v>
      </c>
      <c r="B237" s="5" t="str">
        <f>TEXT(Dataset_con_Errores!B237,"dd/mm/yyyy")</f>
        <v>14/02/2026</v>
      </c>
      <c r="C237" t="str">
        <f>IF(Dataset_con_Errores!C237="","Sin Cliente",PROPER(TRIM(Dataset_con_Errores!C237)))</f>
        <v>Maria Lopez</v>
      </c>
      <c r="D237" t="str">
        <f>PROPER(TRIM(Dataset_con_Errores!D237))</f>
        <v>Bogota</v>
      </c>
      <c r="E237" t="str">
        <f>IF(Dataset_con_Errores!E237="","Sin especificar",Dataset_con_Errores!E237)</f>
        <v>Teclado</v>
      </c>
      <c r="F237">
        <f>IF(Dataset_con_Errores!F237&lt;=0,1,Dataset_con_Errores!F237)</f>
        <v>4</v>
      </c>
      <c r="G237">
        <f>Dataset_con_Errores!G237</f>
        <v>700</v>
      </c>
      <c r="H237">
        <f t="shared" si="3"/>
        <v>2800</v>
      </c>
      <c r="I237" t="str">
        <f>IF(H237=Dataset_con_Errores!H237,"OK","ERROR")</f>
        <v>ERROR</v>
      </c>
    </row>
    <row r="238" spans="1:9" x14ac:dyDescent="0.25">
      <c r="A238">
        <f>Dataset_con_Errores!A238</f>
        <v>237</v>
      </c>
      <c r="B238" s="5" t="str">
        <f>TEXT(Dataset_con_Errores!B238,"dd/mm/yyyy")</f>
        <v>30/01/2026</v>
      </c>
      <c r="C238" t="str">
        <f>IF(Dataset_con_Errores!C238="","Sin Cliente",PROPER(TRIM(Dataset_con_Errores!C238)))</f>
        <v>Maria Lopez</v>
      </c>
      <c r="D238" t="str">
        <f>PROPER(TRIM(Dataset_con_Errores!D238))</f>
        <v>Bogotá</v>
      </c>
      <c r="E238" t="str">
        <f>IF(Dataset_con_Errores!E238="","Sin especificar",Dataset_con_Errores!E238)</f>
        <v>Mouse</v>
      </c>
      <c r="F238">
        <f>IF(Dataset_con_Errores!F238&lt;=0,1,Dataset_con_Errores!F238)</f>
        <v>4</v>
      </c>
      <c r="G238">
        <f>Dataset_con_Errores!G238</f>
        <v>1500</v>
      </c>
      <c r="H238">
        <f t="shared" si="3"/>
        <v>6000</v>
      </c>
      <c r="I238" t="str">
        <f>IF(H238=Dataset_con_Errores!H238,"OK","ERROR")</f>
        <v>OK</v>
      </c>
    </row>
    <row r="239" spans="1:9" x14ac:dyDescent="0.25">
      <c r="A239">
        <f>Dataset_con_Errores!A239</f>
        <v>238</v>
      </c>
      <c r="B239" s="5" t="str">
        <f>TEXT(Dataset_con_Errores!B239,"dd/mm/yyyy")</f>
        <v>24/02/2026</v>
      </c>
      <c r="C239" t="str">
        <f>IF(Dataset_con_Errores!C239="","Sin Cliente",PROPER(TRIM(Dataset_con_Errores!C239)))</f>
        <v>Juan Perez</v>
      </c>
      <c r="D239" t="str">
        <f>PROPER(TRIM(Dataset_con_Errores!D239))</f>
        <v>Bogotá</v>
      </c>
      <c r="E239" t="str">
        <f>IF(Dataset_con_Errores!E239="","Sin especificar",Dataset_con_Errores!E239)</f>
        <v>Laptop</v>
      </c>
      <c r="F239">
        <f>IF(Dataset_con_Errores!F239&lt;=0,1,Dataset_con_Errores!F239)</f>
        <v>2</v>
      </c>
      <c r="G239">
        <f>Dataset_con_Errores!G239</f>
        <v>1500</v>
      </c>
      <c r="H239">
        <f t="shared" si="3"/>
        <v>3000</v>
      </c>
      <c r="I239" t="str">
        <f>IF(H239=Dataset_con_Errores!H239,"OK","ERROR")</f>
        <v>OK</v>
      </c>
    </row>
    <row r="240" spans="1:9" x14ac:dyDescent="0.25">
      <c r="A240">
        <f>Dataset_con_Errores!A240</f>
        <v>239</v>
      </c>
      <c r="B240" s="5" t="str">
        <f>TEXT(Dataset_con_Errores!B240,"dd/mm/yyyy")</f>
        <v>19/01/2026</v>
      </c>
      <c r="C240" t="str">
        <f>IF(Dataset_con_Errores!C240="","Sin Cliente",PROPER(TRIM(Dataset_con_Errores!C240)))</f>
        <v>Juan Perez</v>
      </c>
      <c r="D240" t="str">
        <f>PROPER(TRIM(Dataset_con_Errores!D240))</f>
        <v>Medellin</v>
      </c>
      <c r="E240" t="str">
        <f>IF(Dataset_con_Errores!E240="","Sin especificar",Dataset_con_Errores!E240)</f>
        <v>Sin especificar</v>
      </c>
      <c r="F240">
        <f>IF(Dataset_con_Errores!F240&lt;=0,1,Dataset_con_Errores!F240)</f>
        <v>1</v>
      </c>
      <c r="G240">
        <f>Dataset_con_Errores!G240</f>
        <v>1500</v>
      </c>
      <c r="H240">
        <f t="shared" si="3"/>
        <v>1500</v>
      </c>
      <c r="I240" t="str">
        <f>IF(H240=Dataset_con_Errores!H240,"OK","ERROR")</f>
        <v>OK</v>
      </c>
    </row>
    <row r="241" spans="1:9" hidden="1" x14ac:dyDescent="0.25">
      <c r="A241">
        <f>Dataset_con_Errores!A241</f>
        <v>240</v>
      </c>
      <c r="B241" s="5" t="str">
        <f>TEXT(Dataset_con_Errores!B241,"dd/mm/yyyy")</f>
        <v>25/02/2026</v>
      </c>
      <c r="C241" t="str">
        <f>IF(Dataset_con_Errores!C241="","Sin Cliente",PROPER(TRIM(Dataset_con_Errores!C241)))</f>
        <v>Carlos Ruiz</v>
      </c>
      <c r="D241" t="str">
        <f>PROPER(TRIM(Dataset_con_Errores!D241))</f>
        <v>Medellin</v>
      </c>
      <c r="E241" t="str">
        <f>IF(Dataset_con_Errores!E241="","Sin especificar",Dataset_con_Errores!E241)</f>
        <v>Teclado</v>
      </c>
      <c r="F241">
        <f>IF(Dataset_con_Errores!F241&lt;=0,1,Dataset_con_Errores!F241)</f>
        <v>1</v>
      </c>
      <c r="G241">
        <f>Dataset_con_Errores!G241</f>
        <v>80</v>
      </c>
      <c r="H241">
        <f t="shared" si="3"/>
        <v>80</v>
      </c>
      <c r="I241" t="str">
        <f>IF(H241=Dataset_con_Errores!H241,"OK","ERROR")</f>
        <v>ERROR</v>
      </c>
    </row>
    <row r="242" spans="1:9" hidden="1" x14ac:dyDescent="0.25">
      <c r="A242">
        <f>Dataset_con_Errores!A242</f>
        <v>241</v>
      </c>
      <c r="B242" s="5" t="str">
        <f>TEXT(Dataset_con_Errores!B242,"dd/mm/yyyy")</f>
        <v>08/02/2026</v>
      </c>
      <c r="C242" t="str">
        <f>IF(Dataset_con_Errores!C242="","Sin Cliente",PROPER(TRIM(Dataset_con_Errores!C242)))</f>
        <v>Juan Perez</v>
      </c>
      <c r="D242" t="str">
        <f>PROPER(TRIM(Dataset_con_Errores!D242))</f>
        <v>Bogotá</v>
      </c>
      <c r="E242" t="str">
        <f>IF(Dataset_con_Errores!E242="","Sin especificar",Dataset_con_Errores!E242)</f>
        <v>Mouse</v>
      </c>
      <c r="F242">
        <f>IF(Dataset_con_Errores!F242&lt;=0,1,Dataset_con_Errores!F242)</f>
        <v>1</v>
      </c>
      <c r="G242">
        <f>Dataset_con_Errores!G242</f>
        <v>1500</v>
      </c>
      <c r="H242">
        <f t="shared" si="3"/>
        <v>1500</v>
      </c>
      <c r="I242" t="str">
        <f>IF(H242=Dataset_con_Errores!H242,"OK","ERROR")</f>
        <v>ERROR</v>
      </c>
    </row>
    <row r="243" spans="1:9" hidden="1" x14ac:dyDescent="0.25">
      <c r="A243">
        <f>Dataset_con_Errores!A243</f>
        <v>242</v>
      </c>
      <c r="B243" s="5" t="str">
        <f>TEXT(Dataset_con_Errores!B243,"dd/mm/yyyy")</f>
        <v>17/03/2026</v>
      </c>
      <c r="C243" t="str">
        <f>IF(Dataset_con_Errores!C243="","Sin Cliente",PROPER(TRIM(Dataset_con_Errores!C243)))</f>
        <v>Maria Lopez</v>
      </c>
      <c r="D243" t="str">
        <f>PROPER(TRIM(Dataset_con_Errores!D243))</f>
        <v>Medellín</v>
      </c>
      <c r="E243" t="str">
        <f>IF(Dataset_con_Errores!E243="","Sin especificar",Dataset_con_Errores!E243)</f>
        <v>Sin especificar</v>
      </c>
      <c r="F243">
        <f>IF(Dataset_con_Errores!F243&lt;=0,1,Dataset_con_Errores!F243)</f>
        <v>1</v>
      </c>
      <c r="G243">
        <f>Dataset_con_Errores!G243</f>
        <v>1500</v>
      </c>
      <c r="H243">
        <f t="shared" si="3"/>
        <v>1500</v>
      </c>
      <c r="I243" t="str">
        <f>IF(H243=Dataset_con_Errores!H243,"OK","ERROR")</f>
        <v>ERROR</v>
      </c>
    </row>
    <row r="244" spans="1:9" hidden="1" x14ac:dyDescent="0.25">
      <c r="A244">
        <f>Dataset_con_Errores!A244</f>
        <v>243</v>
      </c>
      <c r="B244" s="5" t="str">
        <f>TEXT(Dataset_con_Errores!B244,"dd/mm/yyyy")</f>
        <v>01-Jan-26</v>
      </c>
      <c r="C244" t="str">
        <f>IF(Dataset_con_Errores!C244="","Sin Cliente",PROPER(TRIM(Dataset_con_Errores!C244)))</f>
        <v>Sin Cliente</v>
      </c>
      <c r="D244" t="str">
        <f>PROPER(TRIM(Dataset_con_Errores!D244))</f>
        <v>Bogotá</v>
      </c>
      <c r="E244" t="str">
        <f>IF(Dataset_con_Errores!E244="","Sin especificar",Dataset_con_Errores!E244)</f>
        <v>Mouse</v>
      </c>
      <c r="F244">
        <f>IF(Dataset_con_Errores!F244&lt;=0,1,Dataset_con_Errores!F244)</f>
        <v>1</v>
      </c>
      <c r="G244">
        <f>Dataset_con_Errores!G244</f>
        <v>80</v>
      </c>
      <c r="H244">
        <f t="shared" si="3"/>
        <v>80</v>
      </c>
      <c r="I244" t="str">
        <f>IF(H244=Dataset_con_Errores!H244,"OK","ERROR")</f>
        <v>ERROR</v>
      </c>
    </row>
    <row r="245" spans="1:9" hidden="1" x14ac:dyDescent="0.25">
      <c r="A245">
        <f>Dataset_con_Errores!A245</f>
        <v>244</v>
      </c>
      <c r="B245" s="5" t="str">
        <f>TEXT(Dataset_con_Errores!B245,"dd/mm/yyyy")</f>
        <v>13/03/2026</v>
      </c>
      <c r="C245" t="str">
        <f>IF(Dataset_con_Errores!C245="","Sin Cliente",PROPER(TRIM(Dataset_con_Errores!C245)))</f>
        <v>Maria Lopez</v>
      </c>
      <c r="D245" t="str">
        <f>PROPER(TRIM(Dataset_con_Errores!D245))</f>
        <v>Medellin</v>
      </c>
      <c r="E245" t="str">
        <f>IF(Dataset_con_Errores!E245="","Sin especificar",Dataset_con_Errores!E245)</f>
        <v>Laptop</v>
      </c>
      <c r="F245">
        <f>IF(Dataset_con_Errores!F245&lt;=0,1,Dataset_con_Errores!F245)</f>
        <v>1</v>
      </c>
      <c r="G245">
        <f>Dataset_con_Errores!G245</f>
        <v>1500</v>
      </c>
      <c r="H245">
        <f t="shared" si="3"/>
        <v>1500</v>
      </c>
      <c r="I245" t="str">
        <f>IF(H245=Dataset_con_Errores!H245,"OK","ERROR")</f>
        <v>ERROR</v>
      </c>
    </row>
    <row r="246" spans="1:9" x14ac:dyDescent="0.25">
      <c r="A246">
        <f>Dataset_con_Errores!A246</f>
        <v>245</v>
      </c>
      <c r="B246" s="5" t="str">
        <f>TEXT(Dataset_con_Errores!B246,"dd/mm/yyyy")</f>
        <v>04/01/2026</v>
      </c>
      <c r="C246" t="str">
        <f>IF(Dataset_con_Errores!C246="","Sin Cliente",PROPER(TRIM(Dataset_con_Errores!C246)))</f>
        <v>Carlos Ruiz</v>
      </c>
      <c r="D246" t="str">
        <f>PROPER(TRIM(Dataset_con_Errores!D246))</f>
        <v>Bogotá</v>
      </c>
      <c r="E246" t="str">
        <f>IF(Dataset_con_Errores!E246="","Sin especificar",Dataset_con_Errores!E246)</f>
        <v>Laptop</v>
      </c>
      <c r="F246">
        <f>IF(Dataset_con_Errores!F246&lt;=0,1,Dataset_con_Errores!F246)</f>
        <v>3</v>
      </c>
      <c r="G246">
        <f>Dataset_con_Errores!G246</f>
        <v>1500</v>
      </c>
      <c r="H246">
        <f t="shared" si="3"/>
        <v>4500</v>
      </c>
      <c r="I246" t="str">
        <f>IF(H246=Dataset_con_Errores!H246,"OK","ERROR")</f>
        <v>OK</v>
      </c>
    </row>
    <row r="247" spans="1:9" hidden="1" x14ac:dyDescent="0.25">
      <c r="A247">
        <f>Dataset_con_Errores!A247</f>
        <v>246</v>
      </c>
      <c r="B247" s="5" t="str">
        <f>TEXT(Dataset_con_Errores!B247,"dd/mm/yyyy")</f>
        <v>02/01/2026</v>
      </c>
      <c r="C247" t="str">
        <f>IF(Dataset_con_Errores!C247="","Sin Cliente",PROPER(TRIM(Dataset_con_Errores!C247)))</f>
        <v>Maria Lopez</v>
      </c>
      <c r="D247" t="str">
        <f>PROPER(TRIM(Dataset_con_Errores!D247))</f>
        <v>Medellín</v>
      </c>
      <c r="E247" t="str">
        <f>IF(Dataset_con_Errores!E247="","Sin especificar",Dataset_con_Errores!E247)</f>
        <v>Mouse</v>
      </c>
      <c r="F247">
        <f>IF(Dataset_con_Errores!F247&lt;=0,1,Dataset_con_Errores!F247)</f>
        <v>1</v>
      </c>
      <c r="G247">
        <f>Dataset_con_Errores!G247</f>
        <v>1500</v>
      </c>
      <c r="H247">
        <f t="shared" si="3"/>
        <v>1500</v>
      </c>
      <c r="I247" t="str">
        <f>IF(H247=Dataset_con_Errores!H247,"OK","ERROR")</f>
        <v>ERROR</v>
      </c>
    </row>
    <row r="248" spans="1:9" x14ac:dyDescent="0.25">
      <c r="A248">
        <f>Dataset_con_Errores!A248</f>
        <v>247</v>
      </c>
      <c r="B248" s="5" t="str">
        <f>TEXT(Dataset_con_Errores!B248,"dd/mm/yyyy")</f>
        <v>07/02/2026</v>
      </c>
      <c r="C248" t="str">
        <f>IF(Dataset_con_Errores!C248="","Sin Cliente",PROPER(TRIM(Dataset_con_Errores!C248)))</f>
        <v>Ana Torres</v>
      </c>
      <c r="D248" t="str">
        <f>PROPER(TRIM(Dataset_con_Errores!D248))</f>
        <v>Bogota</v>
      </c>
      <c r="E248" t="str">
        <f>IF(Dataset_con_Errores!E248="","Sin especificar",Dataset_con_Errores!E248)</f>
        <v>Monitor</v>
      </c>
      <c r="F248">
        <f>IF(Dataset_con_Errores!F248&lt;=0,1,Dataset_con_Errores!F248)</f>
        <v>3</v>
      </c>
      <c r="G248">
        <f>Dataset_con_Errores!G248</f>
        <v>1500</v>
      </c>
      <c r="H248">
        <f t="shared" si="3"/>
        <v>4500</v>
      </c>
      <c r="I248" t="str">
        <f>IF(H248=Dataset_con_Errores!H248,"OK","ERROR")</f>
        <v>OK</v>
      </c>
    </row>
    <row r="249" spans="1:9" hidden="1" x14ac:dyDescent="0.25">
      <c r="A249">
        <f>Dataset_con_Errores!A249</f>
        <v>248</v>
      </c>
      <c r="B249" s="5" t="str">
        <f>TEXT(Dataset_con_Errores!B249,"dd/mm/yyyy")</f>
        <v>09-Jan-26</v>
      </c>
      <c r="C249" t="str">
        <f>IF(Dataset_con_Errores!C249="","Sin Cliente",PROPER(TRIM(Dataset_con_Errores!C249)))</f>
        <v>Juan Perez</v>
      </c>
      <c r="D249" t="str">
        <f>PROPER(TRIM(Dataset_con_Errores!D249))</f>
        <v>Bogotá</v>
      </c>
      <c r="E249" t="str">
        <f>IF(Dataset_con_Errores!E249="","Sin especificar",Dataset_con_Errores!E249)</f>
        <v>Teclado</v>
      </c>
      <c r="F249">
        <f>IF(Dataset_con_Errores!F249&lt;=0,1,Dataset_con_Errores!F249)</f>
        <v>1</v>
      </c>
      <c r="G249">
        <f>Dataset_con_Errores!G249</f>
        <v>700</v>
      </c>
      <c r="H249">
        <f t="shared" si="3"/>
        <v>700</v>
      </c>
      <c r="I249" t="str">
        <f>IF(H249=Dataset_con_Errores!H249,"OK","ERROR")</f>
        <v>ERROR</v>
      </c>
    </row>
    <row r="250" spans="1:9" hidden="1" x14ac:dyDescent="0.25">
      <c r="A250">
        <f>Dataset_con_Errores!A250</f>
        <v>249</v>
      </c>
      <c r="B250" s="5" t="str">
        <f>TEXT(Dataset_con_Errores!B250,"dd/mm/yyyy")</f>
        <v>14/03/2026</v>
      </c>
      <c r="C250" t="str">
        <f>IF(Dataset_con_Errores!C250="","Sin Cliente",PROPER(TRIM(Dataset_con_Errores!C250)))</f>
        <v>Sin Cliente</v>
      </c>
      <c r="D250" t="str">
        <f>PROPER(TRIM(Dataset_con_Errores!D250))</f>
        <v>Medellin</v>
      </c>
      <c r="E250" t="str">
        <f>IF(Dataset_con_Errores!E250="","Sin especificar",Dataset_con_Errores!E250)</f>
        <v>Teclado</v>
      </c>
      <c r="F250">
        <f>IF(Dataset_con_Errores!F250&lt;=0,1,Dataset_con_Errores!F250)</f>
        <v>1</v>
      </c>
      <c r="G250">
        <f>Dataset_con_Errores!G250</f>
        <v>700</v>
      </c>
      <c r="H250">
        <f t="shared" si="3"/>
        <v>700</v>
      </c>
      <c r="I250" t="str">
        <f>IF(H250=Dataset_con_Errores!H250,"OK","ERROR")</f>
        <v>ERROR</v>
      </c>
    </row>
    <row r="251" spans="1:9" hidden="1" x14ac:dyDescent="0.25">
      <c r="A251">
        <f>Dataset_con_Errores!A251</f>
        <v>250</v>
      </c>
      <c r="B251" s="5" t="str">
        <f>TEXT(Dataset_con_Errores!B251,"dd/mm/yyyy")</f>
        <v>29/03/2026</v>
      </c>
      <c r="C251" t="str">
        <f>IF(Dataset_con_Errores!C251="","Sin Cliente",PROPER(TRIM(Dataset_con_Errores!C251)))</f>
        <v>Carlos Ruiz</v>
      </c>
      <c r="D251" t="str">
        <f>PROPER(TRIM(Dataset_con_Errores!D251))</f>
        <v>Bogota</v>
      </c>
      <c r="E251" t="str">
        <f>IF(Dataset_con_Errores!E251="","Sin especificar",Dataset_con_Errores!E251)</f>
        <v>Mouse</v>
      </c>
      <c r="F251">
        <f>IF(Dataset_con_Errores!F251&lt;=0,1,Dataset_con_Errores!F251)</f>
        <v>5</v>
      </c>
      <c r="G251">
        <f>Dataset_con_Errores!G251</f>
        <v>700</v>
      </c>
      <c r="H251">
        <f t="shared" si="3"/>
        <v>3500</v>
      </c>
      <c r="I251" t="str">
        <f>IF(H251=Dataset_con_Errores!H251,"OK","ERROR")</f>
        <v>ERROR</v>
      </c>
    </row>
    <row r="252" spans="1:9" x14ac:dyDescent="0.25">
      <c r="A252">
        <f>Dataset_con_Errores!A252</f>
        <v>251</v>
      </c>
      <c r="B252" s="5" t="str">
        <f>TEXT(Dataset_con_Errores!B252,"dd/mm/yyyy")</f>
        <v>06/01/2026</v>
      </c>
      <c r="C252" t="str">
        <f>IF(Dataset_con_Errores!C252="","Sin Cliente",PROPER(TRIM(Dataset_con_Errores!C252)))</f>
        <v>Juan Perez</v>
      </c>
      <c r="D252" t="str">
        <f>PROPER(TRIM(Dataset_con_Errores!D252))</f>
        <v>Bogotá</v>
      </c>
      <c r="E252" t="str">
        <f>IF(Dataset_con_Errores!E252="","Sin especificar",Dataset_con_Errores!E252)</f>
        <v>Laptop</v>
      </c>
      <c r="F252">
        <f>IF(Dataset_con_Errores!F252&lt;=0,1,Dataset_con_Errores!F252)</f>
        <v>3</v>
      </c>
      <c r="G252">
        <f>Dataset_con_Errores!G252</f>
        <v>50</v>
      </c>
      <c r="H252">
        <f t="shared" si="3"/>
        <v>150</v>
      </c>
      <c r="I252" t="str">
        <f>IF(H252=Dataset_con_Errores!H252,"OK","ERROR")</f>
        <v>OK</v>
      </c>
    </row>
    <row r="253" spans="1:9" hidden="1" x14ac:dyDescent="0.25">
      <c r="A253">
        <f>Dataset_con_Errores!A253</f>
        <v>252</v>
      </c>
      <c r="B253" s="5" t="str">
        <f>TEXT(Dataset_con_Errores!B253,"dd/mm/yyyy")</f>
        <v>02-Jan-26</v>
      </c>
      <c r="C253" t="str">
        <f>IF(Dataset_con_Errores!C253="","Sin Cliente",PROPER(TRIM(Dataset_con_Errores!C253)))</f>
        <v>Ana Torres</v>
      </c>
      <c r="D253" t="str">
        <f>PROPER(TRIM(Dataset_con_Errores!D253))</f>
        <v>Bogota</v>
      </c>
      <c r="E253" t="str">
        <f>IF(Dataset_con_Errores!E253="","Sin especificar",Dataset_con_Errores!E253)</f>
        <v>Mouse</v>
      </c>
      <c r="F253">
        <f>IF(Dataset_con_Errores!F253&lt;=0,1,Dataset_con_Errores!F253)</f>
        <v>1</v>
      </c>
      <c r="G253">
        <f>Dataset_con_Errores!G253</f>
        <v>80</v>
      </c>
      <c r="H253">
        <f t="shared" si="3"/>
        <v>80</v>
      </c>
      <c r="I253" t="str">
        <f>IF(H253=Dataset_con_Errores!H253,"OK","ERROR")</f>
        <v>ERROR</v>
      </c>
    </row>
    <row r="254" spans="1:9" hidden="1" x14ac:dyDescent="0.25">
      <c r="A254">
        <f>Dataset_con_Errores!A254</f>
        <v>253</v>
      </c>
      <c r="B254" s="5" t="str">
        <f>TEXT(Dataset_con_Errores!B254,"dd/mm/yyyy")</f>
        <v>27/01/2026</v>
      </c>
      <c r="C254" t="str">
        <f>IF(Dataset_con_Errores!C254="","Sin Cliente",PROPER(TRIM(Dataset_con_Errores!C254)))</f>
        <v>Carlos Ruiz</v>
      </c>
      <c r="D254" t="str">
        <f>PROPER(TRIM(Dataset_con_Errores!D254))</f>
        <v>Medellin</v>
      </c>
      <c r="E254" t="str">
        <f>IF(Dataset_con_Errores!E254="","Sin especificar",Dataset_con_Errores!E254)</f>
        <v>Teclado</v>
      </c>
      <c r="F254">
        <f>IF(Dataset_con_Errores!F254&lt;=0,1,Dataset_con_Errores!F254)</f>
        <v>1</v>
      </c>
      <c r="G254">
        <f>Dataset_con_Errores!G254</f>
        <v>80</v>
      </c>
      <c r="H254">
        <f t="shared" si="3"/>
        <v>80</v>
      </c>
      <c r="I254" t="str">
        <f>IF(H254=Dataset_con_Errores!H254,"OK","ERROR")</f>
        <v>ERROR</v>
      </c>
    </row>
    <row r="255" spans="1:9" hidden="1" x14ac:dyDescent="0.25">
      <c r="A255">
        <f>Dataset_con_Errores!A255</f>
        <v>254</v>
      </c>
      <c r="B255" s="5" t="str">
        <f>TEXT(Dataset_con_Errores!B255,"dd/mm/yyyy")</f>
        <v>08-Jan-26</v>
      </c>
      <c r="C255" t="str">
        <f>IF(Dataset_con_Errores!C255="","Sin Cliente",PROPER(TRIM(Dataset_con_Errores!C255)))</f>
        <v>Sin Cliente</v>
      </c>
      <c r="D255" t="str">
        <f>PROPER(TRIM(Dataset_con_Errores!D255))</f>
        <v>Bogota</v>
      </c>
      <c r="E255" t="str">
        <f>IF(Dataset_con_Errores!E255="","Sin especificar",Dataset_con_Errores!E255)</f>
        <v>Mouse</v>
      </c>
      <c r="F255">
        <f>IF(Dataset_con_Errores!F255&lt;=0,1,Dataset_con_Errores!F255)</f>
        <v>1</v>
      </c>
      <c r="G255">
        <f>Dataset_con_Errores!G255</f>
        <v>80</v>
      </c>
      <c r="H255">
        <f t="shared" si="3"/>
        <v>80</v>
      </c>
      <c r="I255" t="str">
        <f>IF(H255=Dataset_con_Errores!H255,"OK","ERROR")</f>
        <v>ERROR</v>
      </c>
    </row>
    <row r="256" spans="1:9" hidden="1" x14ac:dyDescent="0.25">
      <c r="A256">
        <f>Dataset_con_Errores!A256</f>
        <v>255</v>
      </c>
      <c r="B256" s="5" t="str">
        <f>TEXT(Dataset_con_Errores!B256,"dd/mm/yyyy")</f>
        <v>01/01/2026</v>
      </c>
      <c r="C256" t="str">
        <f>IF(Dataset_con_Errores!C256="","Sin Cliente",PROPER(TRIM(Dataset_con_Errores!C256)))</f>
        <v>Carlos Ruiz</v>
      </c>
      <c r="D256" t="str">
        <f>PROPER(TRIM(Dataset_con_Errores!D256))</f>
        <v>Bogotá</v>
      </c>
      <c r="E256" t="str">
        <f>IF(Dataset_con_Errores!E256="","Sin especificar",Dataset_con_Errores!E256)</f>
        <v>Monitor</v>
      </c>
      <c r="F256">
        <f>IF(Dataset_con_Errores!F256&lt;=0,1,Dataset_con_Errores!F256)</f>
        <v>1</v>
      </c>
      <c r="G256">
        <f>Dataset_con_Errores!G256</f>
        <v>700</v>
      </c>
      <c r="H256">
        <f t="shared" si="3"/>
        <v>700</v>
      </c>
      <c r="I256" t="str">
        <f>IF(H256=Dataset_con_Errores!H256,"OK","ERROR")</f>
        <v>ERROR</v>
      </c>
    </row>
    <row r="257" spans="1:9" x14ac:dyDescent="0.25">
      <c r="A257">
        <f>Dataset_con_Errores!A257</f>
        <v>256</v>
      </c>
      <c r="B257" s="5" t="str">
        <f>TEXT(Dataset_con_Errores!B257,"dd/mm/yyyy")</f>
        <v>16/02/2026</v>
      </c>
      <c r="C257" t="str">
        <f>IF(Dataset_con_Errores!C257="","Sin Cliente",PROPER(TRIM(Dataset_con_Errores!C257)))</f>
        <v>Carlos Ruiz</v>
      </c>
      <c r="D257" t="str">
        <f>PROPER(TRIM(Dataset_con_Errores!D257))</f>
        <v>Bogotá</v>
      </c>
      <c r="E257" t="str">
        <f>IF(Dataset_con_Errores!E257="","Sin especificar",Dataset_con_Errores!E257)</f>
        <v>Laptop</v>
      </c>
      <c r="F257">
        <f>IF(Dataset_con_Errores!F257&lt;=0,1,Dataset_con_Errores!F257)</f>
        <v>2</v>
      </c>
      <c r="G257">
        <f>Dataset_con_Errores!G257</f>
        <v>50</v>
      </c>
      <c r="H257">
        <f t="shared" si="3"/>
        <v>100</v>
      </c>
      <c r="I257" t="str">
        <f>IF(H257=Dataset_con_Errores!H257,"OK","ERROR")</f>
        <v>OK</v>
      </c>
    </row>
    <row r="258" spans="1:9" hidden="1" x14ac:dyDescent="0.25">
      <c r="A258">
        <f>Dataset_con_Errores!A258</f>
        <v>257</v>
      </c>
      <c r="B258" s="5" t="str">
        <f>TEXT(Dataset_con_Errores!B258,"dd/mm/yyyy")</f>
        <v>23/01/2026</v>
      </c>
      <c r="C258" t="str">
        <f>IF(Dataset_con_Errores!C258="","Sin Cliente",PROPER(TRIM(Dataset_con_Errores!C258)))</f>
        <v>Carlos Ruiz</v>
      </c>
      <c r="D258" t="str">
        <f>PROPER(TRIM(Dataset_con_Errores!D258))</f>
        <v>Medellín</v>
      </c>
      <c r="E258" t="str">
        <f>IF(Dataset_con_Errores!E258="","Sin especificar",Dataset_con_Errores!E258)</f>
        <v>Laptop</v>
      </c>
      <c r="F258">
        <f>IF(Dataset_con_Errores!F258&lt;=0,1,Dataset_con_Errores!F258)</f>
        <v>1</v>
      </c>
      <c r="G258">
        <f>Dataset_con_Errores!G258</f>
        <v>50</v>
      </c>
      <c r="H258">
        <f t="shared" ref="H258:H301" si="4">F258*G258</f>
        <v>50</v>
      </c>
      <c r="I258" t="str">
        <f>IF(H258=Dataset_con_Errores!H258,"OK","ERROR")</f>
        <v>ERROR</v>
      </c>
    </row>
    <row r="259" spans="1:9" hidden="1" x14ac:dyDescent="0.25">
      <c r="A259">
        <f>Dataset_con_Errores!A259</f>
        <v>258</v>
      </c>
      <c r="B259" s="5" t="str">
        <f>TEXT(Dataset_con_Errores!B259,"dd/mm/yyyy")</f>
        <v>29-Jan-26</v>
      </c>
      <c r="C259" t="str">
        <f>IF(Dataset_con_Errores!C259="","Sin Cliente",PROPER(TRIM(Dataset_con_Errores!C259)))</f>
        <v>Carlos Ruiz</v>
      </c>
      <c r="D259" t="str">
        <f>PROPER(TRIM(Dataset_con_Errores!D259))</f>
        <v>Bogotá</v>
      </c>
      <c r="E259" t="str">
        <f>IF(Dataset_con_Errores!E259="","Sin especificar",Dataset_con_Errores!E259)</f>
        <v>Sin especificar</v>
      </c>
      <c r="F259">
        <f>IF(Dataset_con_Errores!F259&lt;=0,1,Dataset_con_Errores!F259)</f>
        <v>1</v>
      </c>
      <c r="G259">
        <f>Dataset_con_Errores!G259</f>
        <v>80</v>
      </c>
      <c r="H259">
        <f t="shared" si="4"/>
        <v>80</v>
      </c>
      <c r="I259" t="str">
        <f>IF(H259=Dataset_con_Errores!H259,"OK","ERROR")</f>
        <v>ERROR</v>
      </c>
    </row>
    <row r="260" spans="1:9" hidden="1" x14ac:dyDescent="0.25">
      <c r="A260">
        <f>Dataset_con_Errores!A260</f>
        <v>259</v>
      </c>
      <c r="B260" s="5" t="str">
        <f>TEXT(Dataset_con_Errores!B260,"dd/mm/yyyy")</f>
        <v>21/02/2026</v>
      </c>
      <c r="C260" t="str">
        <f>IF(Dataset_con_Errores!C260="","Sin Cliente",PROPER(TRIM(Dataset_con_Errores!C260)))</f>
        <v>Ana Torres</v>
      </c>
      <c r="D260" t="str">
        <f>PROPER(TRIM(Dataset_con_Errores!D260))</f>
        <v>Bogota</v>
      </c>
      <c r="E260" t="str">
        <f>IF(Dataset_con_Errores!E260="","Sin especificar",Dataset_con_Errores!E260)</f>
        <v>Teclado</v>
      </c>
      <c r="F260">
        <f>IF(Dataset_con_Errores!F260&lt;=0,1,Dataset_con_Errores!F260)</f>
        <v>1</v>
      </c>
      <c r="G260">
        <f>Dataset_con_Errores!G260</f>
        <v>1500</v>
      </c>
      <c r="H260">
        <f t="shared" si="4"/>
        <v>1500</v>
      </c>
      <c r="I260" t="str">
        <f>IF(H260=Dataset_con_Errores!H260,"OK","ERROR")</f>
        <v>ERROR</v>
      </c>
    </row>
    <row r="261" spans="1:9" x14ac:dyDescent="0.25">
      <c r="A261">
        <f>Dataset_con_Errores!A261</f>
        <v>260</v>
      </c>
      <c r="B261" s="5" t="str">
        <f>TEXT(Dataset_con_Errores!B261,"dd/mm/yyyy")</f>
        <v>01/01/2026</v>
      </c>
      <c r="C261" t="str">
        <f>IF(Dataset_con_Errores!C261="","Sin Cliente",PROPER(TRIM(Dataset_con_Errores!C261)))</f>
        <v>Juan Perez</v>
      </c>
      <c r="D261" t="str">
        <f>PROPER(TRIM(Dataset_con_Errores!D261))</f>
        <v>Medellín</v>
      </c>
      <c r="E261" t="str">
        <f>IF(Dataset_con_Errores!E261="","Sin especificar",Dataset_con_Errores!E261)</f>
        <v>Teclado</v>
      </c>
      <c r="F261">
        <f>IF(Dataset_con_Errores!F261&lt;=0,1,Dataset_con_Errores!F261)</f>
        <v>5</v>
      </c>
      <c r="G261">
        <f>Dataset_con_Errores!G261</f>
        <v>700</v>
      </c>
      <c r="H261">
        <f t="shared" si="4"/>
        <v>3500</v>
      </c>
      <c r="I261" t="str">
        <f>IF(H261=Dataset_con_Errores!H261,"OK","ERROR")</f>
        <v>OK</v>
      </c>
    </row>
    <row r="262" spans="1:9" hidden="1" x14ac:dyDescent="0.25">
      <c r="A262">
        <f>Dataset_con_Errores!A262</f>
        <v>261</v>
      </c>
      <c r="B262" s="5" t="str">
        <f>TEXT(Dataset_con_Errores!B262,"dd/mm/yyyy")</f>
        <v>29/01/2026</v>
      </c>
      <c r="C262" t="str">
        <f>IF(Dataset_con_Errores!C262="","Sin Cliente",PROPER(TRIM(Dataset_con_Errores!C262)))</f>
        <v>Carlos Ruiz</v>
      </c>
      <c r="D262" t="str">
        <f>PROPER(TRIM(Dataset_con_Errores!D262))</f>
        <v>Medellín</v>
      </c>
      <c r="E262" t="str">
        <f>IF(Dataset_con_Errores!E262="","Sin especificar",Dataset_con_Errores!E262)</f>
        <v>Laptop</v>
      </c>
      <c r="F262">
        <f>IF(Dataset_con_Errores!F262&lt;=0,1,Dataset_con_Errores!F262)</f>
        <v>1</v>
      </c>
      <c r="G262">
        <f>Dataset_con_Errores!G262</f>
        <v>50</v>
      </c>
      <c r="H262">
        <f t="shared" si="4"/>
        <v>50</v>
      </c>
      <c r="I262" t="str">
        <f>IF(H262=Dataset_con_Errores!H262,"OK","ERROR")</f>
        <v>ERROR</v>
      </c>
    </row>
    <row r="263" spans="1:9" x14ac:dyDescent="0.25">
      <c r="A263">
        <f>Dataset_con_Errores!A263</f>
        <v>262</v>
      </c>
      <c r="B263" s="5" t="str">
        <f>TEXT(Dataset_con_Errores!B263,"dd/mm/yyyy")</f>
        <v>30/03/2026</v>
      </c>
      <c r="C263" t="str">
        <f>IF(Dataset_con_Errores!C263="","Sin Cliente",PROPER(TRIM(Dataset_con_Errores!C263)))</f>
        <v>Ana Torres</v>
      </c>
      <c r="D263" t="str">
        <f>PROPER(TRIM(Dataset_con_Errores!D263))</f>
        <v>Bogota</v>
      </c>
      <c r="E263" t="str">
        <f>IF(Dataset_con_Errores!E263="","Sin especificar",Dataset_con_Errores!E263)</f>
        <v>Monitor</v>
      </c>
      <c r="F263">
        <f>IF(Dataset_con_Errores!F263&lt;=0,1,Dataset_con_Errores!F263)</f>
        <v>5</v>
      </c>
      <c r="G263">
        <f>Dataset_con_Errores!G263</f>
        <v>1500</v>
      </c>
      <c r="H263">
        <f t="shared" si="4"/>
        <v>7500</v>
      </c>
      <c r="I263" t="str">
        <f>IF(H263=Dataset_con_Errores!H263,"OK","ERROR")</f>
        <v>OK</v>
      </c>
    </row>
    <row r="264" spans="1:9" hidden="1" x14ac:dyDescent="0.25">
      <c r="A264">
        <f>Dataset_con_Errores!A264</f>
        <v>263</v>
      </c>
      <c r="B264" s="5" t="str">
        <f>TEXT(Dataset_con_Errores!B264,"dd/mm/yyyy")</f>
        <v>11-Jan-26</v>
      </c>
      <c r="C264" t="str">
        <f>IF(Dataset_con_Errores!C264="","Sin Cliente",PROPER(TRIM(Dataset_con_Errores!C264)))</f>
        <v>Sin Cliente</v>
      </c>
      <c r="D264" t="str">
        <f>PROPER(TRIM(Dataset_con_Errores!D264))</f>
        <v>Bogota</v>
      </c>
      <c r="E264" t="str">
        <f>IF(Dataset_con_Errores!E264="","Sin especificar",Dataset_con_Errores!E264)</f>
        <v>Monitor</v>
      </c>
      <c r="F264">
        <f>IF(Dataset_con_Errores!F264&lt;=0,1,Dataset_con_Errores!F264)</f>
        <v>1</v>
      </c>
      <c r="G264">
        <f>Dataset_con_Errores!G264</f>
        <v>700</v>
      </c>
      <c r="H264">
        <f t="shared" si="4"/>
        <v>700</v>
      </c>
      <c r="I264" t="str">
        <f>IF(H264=Dataset_con_Errores!H264,"OK","ERROR")</f>
        <v>ERROR</v>
      </c>
    </row>
    <row r="265" spans="1:9" hidden="1" x14ac:dyDescent="0.25">
      <c r="A265">
        <f>Dataset_con_Errores!A265</f>
        <v>264</v>
      </c>
      <c r="B265" s="5" t="str">
        <f>TEXT(Dataset_con_Errores!B265,"dd/mm/yyyy")</f>
        <v>30/03/2026</v>
      </c>
      <c r="C265" t="str">
        <f>IF(Dataset_con_Errores!C265="","Sin Cliente",PROPER(TRIM(Dataset_con_Errores!C265)))</f>
        <v>Sin Cliente</v>
      </c>
      <c r="D265" t="str">
        <f>PROPER(TRIM(Dataset_con_Errores!D265))</f>
        <v>Bogotá</v>
      </c>
      <c r="E265" t="str">
        <f>IF(Dataset_con_Errores!E265="","Sin especificar",Dataset_con_Errores!E265)</f>
        <v>Mouse</v>
      </c>
      <c r="F265">
        <f>IF(Dataset_con_Errores!F265&lt;=0,1,Dataset_con_Errores!F265)</f>
        <v>5</v>
      </c>
      <c r="G265">
        <f>Dataset_con_Errores!G265</f>
        <v>700</v>
      </c>
      <c r="H265">
        <f t="shared" si="4"/>
        <v>3500</v>
      </c>
      <c r="I265" t="str">
        <f>IF(H265=Dataset_con_Errores!H265,"OK","ERROR")</f>
        <v>ERROR</v>
      </c>
    </row>
    <row r="266" spans="1:9" x14ac:dyDescent="0.25">
      <c r="A266">
        <f>Dataset_con_Errores!A266</f>
        <v>265</v>
      </c>
      <c r="B266" s="5" t="str">
        <f>TEXT(Dataset_con_Errores!B266,"dd/mm/yyyy")</f>
        <v>15/01/2026</v>
      </c>
      <c r="C266" t="str">
        <f>IF(Dataset_con_Errores!C266="","Sin Cliente",PROPER(TRIM(Dataset_con_Errores!C266)))</f>
        <v>Ana Torres</v>
      </c>
      <c r="D266" t="str">
        <f>PROPER(TRIM(Dataset_con_Errores!D266))</f>
        <v>Medellín</v>
      </c>
      <c r="E266" t="str">
        <f>IF(Dataset_con_Errores!E266="","Sin especificar",Dataset_con_Errores!E266)</f>
        <v>Teclado</v>
      </c>
      <c r="F266">
        <f>IF(Dataset_con_Errores!F266&lt;=0,1,Dataset_con_Errores!F266)</f>
        <v>5</v>
      </c>
      <c r="G266">
        <f>Dataset_con_Errores!G266</f>
        <v>80</v>
      </c>
      <c r="H266">
        <f t="shared" si="4"/>
        <v>400</v>
      </c>
      <c r="I266" t="str">
        <f>IF(H266=Dataset_con_Errores!H266,"OK","ERROR")</f>
        <v>OK</v>
      </c>
    </row>
    <row r="267" spans="1:9" x14ac:dyDescent="0.25">
      <c r="A267">
        <f>Dataset_con_Errores!A267</f>
        <v>266</v>
      </c>
      <c r="B267" s="5" t="str">
        <f>TEXT(Dataset_con_Errores!B267,"dd/mm/yyyy")</f>
        <v>01/01/2026</v>
      </c>
      <c r="C267" t="str">
        <f>IF(Dataset_con_Errores!C267="","Sin Cliente",PROPER(TRIM(Dataset_con_Errores!C267)))</f>
        <v>Maria Lopez</v>
      </c>
      <c r="D267" t="str">
        <f>PROPER(TRIM(Dataset_con_Errores!D267))</f>
        <v>Bogota</v>
      </c>
      <c r="E267" t="str">
        <f>IF(Dataset_con_Errores!E267="","Sin especificar",Dataset_con_Errores!E267)</f>
        <v>Sin especificar</v>
      </c>
      <c r="F267">
        <f>IF(Dataset_con_Errores!F267&lt;=0,1,Dataset_con_Errores!F267)</f>
        <v>3</v>
      </c>
      <c r="G267">
        <f>Dataset_con_Errores!G267</f>
        <v>700</v>
      </c>
      <c r="H267">
        <f t="shared" si="4"/>
        <v>2100</v>
      </c>
      <c r="I267" t="str">
        <f>IF(H267=Dataset_con_Errores!H267,"OK","ERROR")</f>
        <v>OK</v>
      </c>
    </row>
    <row r="268" spans="1:9" hidden="1" x14ac:dyDescent="0.25">
      <c r="A268">
        <f>Dataset_con_Errores!A268</f>
        <v>267</v>
      </c>
      <c r="B268" s="5" t="str">
        <f>TEXT(Dataset_con_Errores!B268,"dd/mm/yyyy")</f>
        <v>16/01/2026</v>
      </c>
      <c r="C268" t="str">
        <f>IF(Dataset_con_Errores!C268="","Sin Cliente",PROPER(TRIM(Dataset_con_Errores!C268)))</f>
        <v>Carlos Ruiz</v>
      </c>
      <c r="D268" t="str">
        <f>PROPER(TRIM(Dataset_con_Errores!D268))</f>
        <v>Bogotá</v>
      </c>
      <c r="E268" t="str">
        <f>IF(Dataset_con_Errores!E268="","Sin especificar",Dataset_con_Errores!E268)</f>
        <v>Mouse</v>
      </c>
      <c r="F268">
        <f>IF(Dataset_con_Errores!F268&lt;=0,1,Dataset_con_Errores!F268)</f>
        <v>1</v>
      </c>
      <c r="G268">
        <f>Dataset_con_Errores!G268</f>
        <v>50</v>
      </c>
      <c r="H268">
        <f t="shared" si="4"/>
        <v>50</v>
      </c>
      <c r="I268" t="str">
        <f>IF(H268=Dataset_con_Errores!H268,"OK","ERROR")</f>
        <v>ERROR</v>
      </c>
    </row>
    <row r="269" spans="1:9" hidden="1" x14ac:dyDescent="0.25">
      <c r="A269">
        <f>Dataset_con_Errores!A269</f>
        <v>268</v>
      </c>
      <c r="B269" s="5" t="str">
        <f>TEXT(Dataset_con_Errores!B269,"dd/mm/yyyy")</f>
        <v>03/02/2026</v>
      </c>
      <c r="C269" t="str">
        <f>IF(Dataset_con_Errores!C269="","Sin Cliente",PROPER(TRIM(Dataset_con_Errores!C269)))</f>
        <v>Juan Perez</v>
      </c>
      <c r="D269" t="str">
        <f>PROPER(TRIM(Dataset_con_Errores!D269))</f>
        <v>Bogota</v>
      </c>
      <c r="E269" t="str">
        <f>IF(Dataset_con_Errores!E269="","Sin especificar",Dataset_con_Errores!E269)</f>
        <v>Monitor</v>
      </c>
      <c r="F269">
        <f>IF(Dataset_con_Errores!F269&lt;=0,1,Dataset_con_Errores!F269)</f>
        <v>1</v>
      </c>
      <c r="G269">
        <f>Dataset_con_Errores!G269</f>
        <v>80</v>
      </c>
      <c r="H269">
        <f t="shared" si="4"/>
        <v>80</v>
      </c>
      <c r="I269" t="str">
        <f>IF(H269=Dataset_con_Errores!H269,"OK","ERROR")</f>
        <v>ERROR</v>
      </c>
    </row>
    <row r="270" spans="1:9" hidden="1" x14ac:dyDescent="0.25">
      <c r="A270">
        <f>Dataset_con_Errores!A270</f>
        <v>269</v>
      </c>
      <c r="B270" s="5" t="str">
        <f>TEXT(Dataset_con_Errores!B270,"dd/mm/yyyy")</f>
        <v>11/03/2026</v>
      </c>
      <c r="C270" t="str">
        <f>IF(Dataset_con_Errores!C270="","Sin Cliente",PROPER(TRIM(Dataset_con_Errores!C270)))</f>
        <v>Ana Torres</v>
      </c>
      <c r="D270" t="str">
        <f>PROPER(TRIM(Dataset_con_Errores!D270))</f>
        <v>Medellín</v>
      </c>
      <c r="E270" t="str">
        <f>IF(Dataset_con_Errores!E270="","Sin especificar",Dataset_con_Errores!E270)</f>
        <v>Monitor</v>
      </c>
      <c r="F270">
        <f>IF(Dataset_con_Errores!F270&lt;=0,1,Dataset_con_Errores!F270)</f>
        <v>1</v>
      </c>
      <c r="G270">
        <f>Dataset_con_Errores!G270</f>
        <v>700</v>
      </c>
      <c r="H270">
        <f t="shared" si="4"/>
        <v>700</v>
      </c>
      <c r="I270" t="str">
        <f>IF(H270=Dataset_con_Errores!H270,"OK","ERROR")</f>
        <v>ERROR</v>
      </c>
    </row>
    <row r="271" spans="1:9" hidden="1" x14ac:dyDescent="0.25">
      <c r="A271">
        <f>Dataset_con_Errores!A271</f>
        <v>270</v>
      </c>
      <c r="B271" s="5" t="str">
        <f>TEXT(Dataset_con_Errores!B271,"dd/mm/yyyy")</f>
        <v>12/02/2026</v>
      </c>
      <c r="C271" t="str">
        <f>IF(Dataset_con_Errores!C271="","Sin Cliente",PROPER(TRIM(Dataset_con_Errores!C271)))</f>
        <v>Ana Torres</v>
      </c>
      <c r="D271" t="str">
        <f>PROPER(TRIM(Dataset_con_Errores!D271))</f>
        <v>Bogotá</v>
      </c>
      <c r="E271" t="str">
        <f>IF(Dataset_con_Errores!E271="","Sin especificar",Dataset_con_Errores!E271)</f>
        <v>Teclado</v>
      </c>
      <c r="F271">
        <f>IF(Dataset_con_Errores!F271&lt;=0,1,Dataset_con_Errores!F271)</f>
        <v>1</v>
      </c>
      <c r="G271">
        <f>Dataset_con_Errores!G271</f>
        <v>80</v>
      </c>
      <c r="H271">
        <f t="shared" si="4"/>
        <v>80</v>
      </c>
      <c r="I271" t="str">
        <f>IF(H271=Dataset_con_Errores!H271,"OK","ERROR")</f>
        <v>ERROR</v>
      </c>
    </row>
    <row r="272" spans="1:9" hidden="1" x14ac:dyDescent="0.25">
      <c r="A272">
        <f>Dataset_con_Errores!A272</f>
        <v>271</v>
      </c>
      <c r="B272" s="5" t="str">
        <f>TEXT(Dataset_con_Errores!B272,"dd/mm/yyyy")</f>
        <v>09/01/2026</v>
      </c>
      <c r="C272" t="str">
        <f>IF(Dataset_con_Errores!C272="","Sin Cliente",PROPER(TRIM(Dataset_con_Errores!C272)))</f>
        <v>Sin Cliente</v>
      </c>
      <c r="D272" t="str">
        <f>PROPER(TRIM(Dataset_con_Errores!D272))</f>
        <v>Bogota</v>
      </c>
      <c r="E272" t="str">
        <f>IF(Dataset_con_Errores!E272="","Sin especificar",Dataset_con_Errores!E272)</f>
        <v>Teclado</v>
      </c>
      <c r="F272">
        <f>IF(Dataset_con_Errores!F272&lt;=0,1,Dataset_con_Errores!F272)</f>
        <v>1</v>
      </c>
      <c r="G272">
        <f>Dataset_con_Errores!G272</f>
        <v>50</v>
      </c>
      <c r="H272">
        <f t="shared" si="4"/>
        <v>50</v>
      </c>
      <c r="I272" t="str">
        <f>IF(H272=Dataset_con_Errores!H272,"OK","ERROR")</f>
        <v>ERROR</v>
      </c>
    </row>
    <row r="273" spans="1:9" hidden="1" x14ac:dyDescent="0.25">
      <c r="A273">
        <f>Dataset_con_Errores!A273</f>
        <v>272</v>
      </c>
      <c r="B273" s="5" t="str">
        <f>TEXT(Dataset_con_Errores!B273,"dd/mm/yyyy")</f>
        <v>14/02/2026</v>
      </c>
      <c r="C273" t="str">
        <f>IF(Dataset_con_Errores!C273="","Sin Cliente",PROPER(TRIM(Dataset_con_Errores!C273)))</f>
        <v>Maria Lopez</v>
      </c>
      <c r="D273" t="str">
        <f>PROPER(TRIM(Dataset_con_Errores!D273))</f>
        <v>Medellín</v>
      </c>
      <c r="E273" t="str">
        <f>IF(Dataset_con_Errores!E273="","Sin especificar",Dataset_con_Errores!E273)</f>
        <v>Monitor</v>
      </c>
      <c r="F273">
        <f>IF(Dataset_con_Errores!F273&lt;=0,1,Dataset_con_Errores!F273)</f>
        <v>1</v>
      </c>
      <c r="G273">
        <f>Dataset_con_Errores!G273</f>
        <v>1500</v>
      </c>
      <c r="H273">
        <f t="shared" si="4"/>
        <v>1500</v>
      </c>
      <c r="I273" t="str">
        <f>IF(H273=Dataset_con_Errores!H273,"OK","ERROR")</f>
        <v>ERROR</v>
      </c>
    </row>
    <row r="274" spans="1:9" hidden="1" x14ac:dyDescent="0.25">
      <c r="A274">
        <f>Dataset_con_Errores!A274</f>
        <v>273</v>
      </c>
      <c r="B274" s="5" t="str">
        <f>TEXT(Dataset_con_Errores!B274,"dd/mm/yyyy")</f>
        <v>02/03/2026</v>
      </c>
      <c r="C274" t="str">
        <f>IF(Dataset_con_Errores!C274="","Sin Cliente",PROPER(TRIM(Dataset_con_Errores!C274)))</f>
        <v>Maria Lopez</v>
      </c>
      <c r="D274" t="str">
        <f>PROPER(TRIM(Dataset_con_Errores!D274))</f>
        <v>Bogotá</v>
      </c>
      <c r="E274" t="str">
        <f>IF(Dataset_con_Errores!E274="","Sin especificar",Dataset_con_Errores!E274)</f>
        <v>Teclado</v>
      </c>
      <c r="F274">
        <f>IF(Dataset_con_Errores!F274&lt;=0,1,Dataset_con_Errores!F274)</f>
        <v>1</v>
      </c>
      <c r="G274">
        <f>Dataset_con_Errores!G274</f>
        <v>80</v>
      </c>
      <c r="H274">
        <f t="shared" si="4"/>
        <v>80</v>
      </c>
      <c r="I274" t="str">
        <f>IF(H274=Dataset_con_Errores!H274,"OK","ERROR")</f>
        <v>ERROR</v>
      </c>
    </row>
    <row r="275" spans="1:9" hidden="1" x14ac:dyDescent="0.25">
      <c r="A275">
        <f>Dataset_con_Errores!A275</f>
        <v>274</v>
      </c>
      <c r="B275" s="5" t="str">
        <f>TEXT(Dataset_con_Errores!B275,"dd/mm/yyyy")</f>
        <v>17/01/2026</v>
      </c>
      <c r="C275" t="str">
        <f>IF(Dataset_con_Errores!C275="","Sin Cliente",PROPER(TRIM(Dataset_con_Errores!C275)))</f>
        <v>Sin Cliente</v>
      </c>
      <c r="D275" t="str">
        <f>PROPER(TRIM(Dataset_con_Errores!D275))</f>
        <v>Bogotá</v>
      </c>
      <c r="E275" t="str">
        <f>IF(Dataset_con_Errores!E275="","Sin especificar",Dataset_con_Errores!E275)</f>
        <v>Mouse</v>
      </c>
      <c r="F275">
        <f>IF(Dataset_con_Errores!F275&lt;=0,1,Dataset_con_Errores!F275)</f>
        <v>3</v>
      </c>
      <c r="G275">
        <f>Dataset_con_Errores!G275</f>
        <v>1500</v>
      </c>
      <c r="H275">
        <f t="shared" si="4"/>
        <v>4500</v>
      </c>
      <c r="I275" t="str">
        <f>IF(H275=Dataset_con_Errores!H275,"OK","ERROR")</f>
        <v>ERROR</v>
      </c>
    </row>
    <row r="276" spans="1:9" x14ac:dyDescent="0.25">
      <c r="A276">
        <f>Dataset_con_Errores!A276</f>
        <v>275</v>
      </c>
      <c r="B276" s="5" t="str">
        <f>TEXT(Dataset_con_Errores!B276,"dd/mm/yyyy")</f>
        <v>25/03/2026</v>
      </c>
      <c r="C276" t="str">
        <f>IF(Dataset_con_Errores!C276="","Sin Cliente",PROPER(TRIM(Dataset_con_Errores!C276)))</f>
        <v>Sin Cliente</v>
      </c>
      <c r="D276" t="str">
        <f>PROPER(TRIM(Dataset_con_Errores!D276))</f>
        <v>Bogota</v>
      </c>
      <c r="E276" t="str">
        <f>IF(Dataset_con_Errores!E276="","Sin especificar",Dataset_con_Errores!E276)</f>
        <v>Mouse</v>
      </c>
      <c r="F276">
        <f>IF(Dataset_con_Errores!F276&lt;=0,1,Dataset_con_Errores!F276)</f>
        <v>3</v>
      </c>
      <c r="G276">
        <f>Dataset_con_Errores!G276</f>
        <v>80</v>
      </c>
      <c r="H276">
        <f t="shared" si="4"/>
        <v>240</v>
      </c>
      <c r="I276" t="str">
        <f>IF(H276=Dataset_con_Errores!H276,"OK","ERROR")</f>
        <v>OK</v>
      </c>
    </row>
    <row r="277" spans="1:9" hidden="1" x14ac:dyDescent="0.25">
      <c r="A277">
        <f>Dataset_con_Errores!A277</f>
        <v>276</v>
      </c>
      <c r="B277" s="5" t="str">
        <f>TEXT(Dataset_con_Errores!B277,"dd/mm/yyyy")</f>
        <v>21/02/2026</v>
      </c>
      <c r="C277" t="str">
        <f>IF(Dataset_con_Errores!C277="","Sin Cliente",PROPER(TRIM(Dataset_con_Errores!C277)))</f>
        <v>Carlos Ruiz</v>
      </c>
      <c r="D277" t="str">
        <f>PROPER(TRIM(Dataset_con_Errores!D277))</f>
        <v>Bogotá</v>
      </c>
      <c r="E277" t="str">
        <f>IF(Dataset_con_Errores!E277="","Sin especificar",Dataset_con_Errores!E277)</f>
        <v>Sin especificar</v>
      </c>
      <c r="F277">
        <f>IF(Dataset_con_Errores!F277&lt;=0,1,Dataset_con_Errores!F277)</f>
        <v>1</v>
      </c>
      <c r="G277">
        <f>Dataset_con_Errores!G277</f>
        <v>80</v>
      </c>
      <c r="H277">
        <f t="shared" si="4"/>
        <v>80</v>
      </c>
      <c r="I277" t="str">
        <f>IF(H277=Dataset_con_Errores!H277,"OK","ERROR")</f>
        <v>ERROR</v>
      </c>
    </row>
    <row r="278" spans="1:9" x14ac:dyDescent="0.25">
      <c r="A278">
        <f>Dataset_con_Errores!A278</f>
        <v>277</v>
      </c>
      <c r="B278" s="5" t="str">
        <f>TEXT(Dataset_con_Errores!B278,"dd/mm/yyyy")</f>
        <v>29/03/2026</v>
      </c>
      <c r="C278" t="str">
        <f>IF(Dataset_con_Errores!C278="","Sin Cliente",PROPER(TRIM(Dataset_con_Errores!C278)))</f>
        <v>Carlos Ruiz</v>
      </c>
      <c r="D278" t="str">
        <f>PROPER(TRIM(Dataset_con_Errores!D278))</f>
        <v>Medellín</v>
      </c>
      <c r="E278" t="str">
        <f>IF(Dataset_con_Errores!E278="","Sin especificar",Dataset_con_Errores!E278)</f>
        <v>Laptop</v>
      </c>
      <c r="F278">
        <f>IF(Dataset_con_Errores!F278&lt;=0,1,Dataset_con_Errores!F278)</f>
        <v>5</v>
      </c>
      <c r="G278">
        <f>Dataset_con_Errores!G278</f>
        <v>50</v>
      </c>
      <c r="H278">
        <f t="shared" si="4"/>
        <v>250</v>
      </c>
      <c r="I278" t="str">
        <f>IF(H278=Dataset_con_Errores!H278,"OK","ERROR")</f>
        <v>OK</v>
      </c>
    </row>
    <row r="279" spans="1:9" hidden="1" x14ac:dyDescent="0.25">
      <c r="A279">
        <f>Dataset_con_Errores!A279</f>
        <v>278</v>
      </c>
      <c r="B279" s="5" t="str">
        <f>TEXT(Dataset_con_Errores!B279,"dd/mm/yyyy")</f>
        <v>09/03/2026</v>
      </c>
      <c r="C279" t="str">
        <f>IF(Dataset_con_Errores!C279="","Sin Cliente",PROPER(TRIM(Dataset_con_Errores!C279)))</f>
        <v>Maria Lopez</v>
      </c>
      <c r="D279" t="str">
        <f>PROPER(TRIM(Dataset_con_Errores!D279))</f>
        <v>Medellín</v>
      </c>
      <c r="E279" t="str">
        <f>IF(Dataset_con_Errores!E279="","Sin especificar",Dataset_con_Errores!E279)</f>
        <v>Sin especificar</v>
      </c>
      <c r="F279">
        <f>IF(Dataset_con_Errores!F279&lt;=0,1,Dataset_con_Errores!F279)</f>
        <v>1</v>
      </c>
      <c r="G279">
        <f>Dataset_con_Errores!G279</f>
        <v>1500</v>
      </c>
      <c r="H279">
        <f t="shared" si="4"/>
        <v>1500</v>
      </c>
      <c r="I279" t="str">
        <f>IF(H279=Dataset_con_Errores!H279,"OK","ERROR")</f>
        <v>ERROR</v>
      </c>
    </row>
    <row r="280" spans="1:9" hidden="1" x14ac:dyDescent="0.25">
      <c r="A280">
        <f>Dataset_con_Errores!A280</f>
        <v>279</v>
      </c>
      <c r="B280" s="5" t="str">
        <f>TEXT(Dataset_con_Errores!B280,"dd/mm/yyyy")</f>
        <v>03/01/2026</v>
      </c>
      <c r="C280" t="str">
        <f>IF(Dataset_con_Errores!C280="","Sin Cliente",PROPER(TRIM(Dataset_con_Errores!C280)))</f>
        <v>Ana Torres</v>
      </c>
      <c r="D280" t="str">
        <f>PROPER(TRIM(Dataset_con_Errores!D280))</f>
        <v>Bogotá</v>
      </c>
      <c r="E280" t="str">
        <f>IF(Dataset_con_Errores!E280="","Sin especificar",Dataset_con_Errores!E280)</f>
        <v>Sin especificar</v>
      </c>
      <c r="F280">
        <f>IF(Dataset_con_Errores!F280&lt;=0,1,Dataset_con_Errores!F280)</f>
        <v>1</v>
      </c>
      <c r="G280">
        <f>Dataset_con_Errores!G280</f>
        <v>1500</v>
      </c>
      <c r="H280">
        <f t="shared" si="4"/>
        <v>1500</v>
      </c>
      <c r="I280" t="str">
        <f>IF(H280=Dataset_con_Errores!H280,"OK","ERROR")</f>
        <v>ERROR</v>
      </c>
    </row>
    <row r="281" spans="1:9" hidden="1" x14ac:dyDescent="0.25">
      <c r="A281">
        <f>Dataset_con_Errores!A281</f>
        <v>280</v>
      </c>
      <c r="B281" s="5" t="str">
        <f>TEXT(Dataset_con_Errores!B281,"dd/mm/yyyy")</f>
        <v>16/02/2026</v>
      </c>
      <c r="C281" t="str">
        <f>IF(Dataset_con_Errores!C281="","Sin Cliente",PROPER(TRIM(Dataset_con_Errores!C281)))</f>
        <v>Maria Lopez</v>
      </c>
      <c r="D281" t="str">
        <f>PROPER(TRIM(Dataset_con_Errores!D281))</f>
        <v>Medellin</v>
      </c>
      <c r="E281" t="str">
        <f>IF(Dataset_con_Errores!E281="","Sin especificar",Dataset_con_Errores!E281)</f>
        <v>Teclado</v>
      </c>
      <c r="F281">
        <f>IF(Dataset_con_Errores!F281&lt;=0,1,Dataset_con_Errores!F281)</f>
        <v>1</v>
      </c>
      <c r="G281">
        <f>Dataset_con_Errores!G281</f>
        <v>700</v>
      </c>
      <c r="H281">
        <f t="shared" si="4"/>
        <v>700</v>
      </c>
      <c r="I281" t="str">
        <f>IF(H281=Dataset_con_Errores!H281,"OK","ERROR")</f>
        <v>ERROR</v>
      </c>
    </row>
    <row r="282" spans="1:9" hidden="1" x14ac:dyDescent="0.25">
      <c r="A282">
        <f>Dataset_con_Errores!A282</f>
        <v>281</v>
      </c>
      <c r="B282" s="5" t="str">
        <f>TEXT(Dataset_con_Errores!B282,"dd/mm/yyyy")</f>
        <v>10/02/2026</v>
      </c>
      <c r="C282" t="str">
        <f>IF(Dataset_con_Errores!C282="","Sin Cliente",PROPER(TRIM(Dataset_con_Errores!C282)))</f>
        <v>Ana Torres</v>
      </c>
      <c r="D282" t="str">
        <f>PROPER(TRIM(Dataset_con_Errores!D282))</f>
        <v>Bogota</v>
      </c>
      <c r="E282" t="str">
        <f>IF(Dataset_con_Errores!E282="","Sin especificar",Dataset_con_Errores!E282)</f>
        <v>Sin especificar</v>
      </c>
      <c r="F282">
        <f>IF(Dataset_con_Errores!F282&lt;=0,1,Dataset_con_Errores!F282)</f>
        <v>1</v>
      </c>
      <c r="G282">
        <f>Dataset_con_Errores!G282</f>
        <v>80</v>
      </c>
      <c r="H282">
        <f t="shared" si="4"/>
        <v>80</v>
      </c>
      <c r="I282" t="str">
        <f>IF(H282=Dataset_con_Errores!H282,"OK","ERROR")</f>
        <v>ERROR</v>
      </c>
    </row>
    <row r="283" spans="1:9" hidden="1" x14ac:dyDescent="0.25">
      <c r="A283">
        <f>Dataset_con_Errores!A283</f>
        <v>282</v>
      </c>
      <c r="B283" s="5" t="str">
        <f>TEXT(Dataset_con_Errores!B283,"dd/mm/yyyy")</f>
        <v>17/02/2026</v>
      </c>
      <c r="C283" t="str">
        <f>IF(Dataset_con_Errores!C283="","Sin Cliente",PROPER(TRIM(Dataset_con_Errores!C283)))</f>
        <v>Maria Lopez</v>
      </c>
      <c r="D283" t="str">
        <f>PROPER(TRIM(Dataset_con_Errores!D283))</f>
        <v>Bogota</v>
      </c>
      <c r="E283" t="str">
        <f>IF(Dataset_con_Errores!E283="","Sin especificar",Dataset_con_Errores!E283)</f>
        <v>Mouse</v>
      </c>
      <c r="F283">
        <f>IF(Dataset_con_Errores!F283&lt;=0,1,Dataset_con_Errores!F283)</f>
        <v>1</v>
      </c>
      <c r="G283">
        <f>Dataset_con_Errores!G283</f>
        <v>1500</v>
      </c>
      <c r="H283">
        <f t="shared" si="4"/>
        <v>1500</v>
      </c>
      <c r="I283" t="str">
        <f>IF(H283=Dataset_con_Errores!H283,"OK","ERROR")</f>
        <v>ERROR</v>
      </c>
    </row>
    <row r="284" spans="1:9" x14ac:dyDescent="0.25">
      <c r="A284">
        <f>Dataset_con_Errores!A284</f>
        <v>283</v>
      </c>
      <c r="B284" s="5" t="str">
        <f>TEXT(Dataset_con_Errores!B284,"dd/mm/yyyy")</f>
        <v>15/02/2026</v>
      </c>
      <c r="C284" t="str">
        <f>IF(Dataset_con_Errores!C284="","Sin Cliente",PROPER(TRIM(Dataset_con_Errores!C284)))</f>
        <v>Juan Perez</v>
      </c>
      <c r="D284" t="str">
        <f>PROPER(TRIM(Dataset_con_Errores!D284))</f>
        <v>Bogotá</v>
      </c>
      <c r="E284" t="str">
        <f>IF(Dataset_con_Errores!E284="","Sin especificar",Dataset_con_Errores!E284)</f>
        <v>Monitor</v>
      </c>
      <c r="F284">
        <f>IF(Dataset_con_Errores!F284&lt;=0,1,Dataset_con_Errores!F284)</f>
        <v>5</v>
      </c>
      <c r="G284">
        <f>Dataset_con_Errores!G284</f>
        <v>1500</v>
      </c>
      <c r="H284">
        <f t="shared" si="4"/>
        <v>7500</v>
      </c>
      <c r="I284" t="str">
        <f>IF(H284=Dataset_con_Errores!H284,"OK","ERROR")</f>
        <v>OK</v>
      </c>
    </row>
    <row r="285" spans="1:9" x14ac:dyDescent="0.25">
      <c r="A285">
        <f>Dataset_con_Errores!A285</f>
        <v>284</v>
      </c>
      <c r="B285" s="5" t="str">
        <f>TEXT(Dataset_con_Errores!B285,"dd/mm/yyyy")</f>
        <v>11/01/2026</v>
      </c>
      <c r="C285" t="str">
        <f>IF(Dataset_con_Errores!C285="","Sin Cliente",PROPER(TRIM(Dataset_con_Errores!C285)))</f>
        <v>Sin Cliente</v>
      </c>
      <c r="D285" t="str">
        <f>PROPER(TRIM(Dataset_con_Errores!D285))</f>
        <v>Bogotá</v>
      </c>
      <c r="E285" t="str">
        <f>IF(Dataset_con_Errores!E285="","Sin especificar",Dataset_con_Errores!E285)</f>
        <v>Laptop</v>
      </c>
      <c r="F285">
        <f>IF(Dataset_con_Errores!F285&lt;=0,1,Dataset_con_Errores!F285)</f>
        <v>1</v>
      </c>
      <c r="G285">
        <f>Dataset_con_Errores!G285</f>
        <v>1500</v>
      </c>
      <c r="H285">
        <f t="shared" si="4"/>
        <v>1500</v>
      </c>
      <c r="I285" t="str">
        <f>IF(H285=Dataset_con_Errores!H285,"OK","ERROR")</f>
        <v>OK</v>
      </c>
    </row>
    <row r="286" spans="1:9" x14ac:dyDescent="0.25">
      <c r="A286">
        <f>Dataset_con_Errores!A286</f>
        <v>285</v>
      </c>
      <c r="B286" s="5" t="str">
        <f>TEXT(Dataset_con_Errores!B286,"dd/mm/yyyy")</f>
        <v>21/03/2026</v>
      </c>
      <c r="C286" t="str">
        <f>IF(Dataset_con_Errores!C286="","Sin Cliente",PROPER(TRIM(Dataset_con_Errores!C286)))</f>
        <v>Sin Cliente</v>
      </c>
      <c r="D286" t="str">
        <f>PROPER(TRIM(Dataset_con_Errores!D286))</f>
        <v>Bogota</v>
      </c>
      <c r="E286" t="str">
        <f>IF(Dataset_con_Errores!E286="","Sin especificar",Dataset_con_Errores!E286)</f>
        <v>Laptop</v>
      </c>
      <c r="F286">
        <f>IF(Dataset_con_Errores!F286&lt;=0,1,Dataset_con_Errores!F286)</f>
        <v>4</v>
      </c>
      <c r="G286">
        <f>Dataset_con_Errores!G286</f>
        <v>50</v>
      </c>
      <c r="H286">
        <f t="shared" si="4"/>
        <v>200</v>
      </c>
      <c r="I286" t="str">
        <f>IF(H286=Dataset_con_Errores!H286,"OK","ERROR")</f>
        <v>OK</v>
      </c>
    </row>
    <row r="287" spans="1:9" x14ac:dyDescent="0.25">
      <c r="A287">
        <f>Dataset_con_Errores!A287</f>
        <v>286</v>
      </c>
      <c r="B287" s="5" t="str">
        <f>TEXT(Dataset_con_Errores!B287,"dd/mm/yyyy")</f>
        <v>04/02/2026</v>
      </c>
      <c r="C287" t="str">
        <f>IF(Dataset_con_Errores!C287="","Sin Cliente",PROPER(TRIM(Dataset_con_Errores!C287)))</f>
        <v>Carlos Ruiz</v>
      </c>
      <c r="D287" t="str">
        <f>PROPER(TRIM(Dataset_con_Errores!D287))</f>
        <v>Medellín</v>
      </c>
      <c r="E287" t="str">
        <f>IF(Dataset_con_Errores!E287="","Sin especificar",Dataset_con_Errores!E287)</f>
        <v>Teclado</v>
      </c>
      <c r="F287">
        <f>IF(Dataset_con_Errores!F287&lt;=0,1,Dataset_con_Errores!F287)</f>
        <v>2</v>
      </c>
      <c r="G287">
        <f>Dataset_con_Errores!G287</f>
        <v>50</v>
      </c>
      <c r="H287">
        <f t="shared" si="4"/>
        <v>100</v>
      </c>
      <c r="I287" t="str">
        <f>IF(H287=Dataset_con_Errores!H287,"OK","ERROR")</f>
        <v>OK</v>
      </c>
    </row>
    <row r="288" spans="1:9" hidden="1" x14ac:dyDescent="0.25">
      <c r="A288">
        <f>Dataset_con_Errores!A288</f>
        <v>287</v>
      </c>
      <c r="B288" s="5" t="str">
        <f>TEXT(Dataset_con_Errores!B288,"dd/mm/yyyy")</f>
        <v>08/01/2026</v>
      </c>
      <c r="C288" t="str">
        <f>IF(Dataset_con_Errores!C288="","Sin Cliente",PROPER(TRIM(Dataset_con_Errores!C288)))</f>
        <v>Ana Torres</v>
      </c>
      <c r="D288" t="str">
        <f>PROPER(TRIM(Dataset_con_Errores!D288))</f>
        <v>Medellín</v>
      </c>
      <c r="E288" t="str">
        <f>IF(Dataset_con_Errores!E288="","Sin especificar",Dataset_con_Errores!E288)</f>
        <v>Monitor</v>
      </c>
      <c r="F288">
        <f>IF(Dataset_con_Errores!F288&lt;=0,1,Dataset_con_Errores!F288)</f>
        <v>1</v>
      </c>
      <c r="G288">
        <f>Dataset_con_Errores!G288</f>
        <v>1500</v>
      </c>
      <c r="H288">
        <f t="shared" si="4"/>
        <v>1500</v>
      </c>
      <c r="I288" t="str">
        <f>IF(H288=Dataset_con_Errores!H288,"OK","ERROR")</f>
        <v>ERROR</v>
      </c>
    </row>
    <row r="289" spans="1:9" hidden="1" x14ac:dyDescent="0.25">
      <c r="A289">
        <f>Dataset_con_Errores!A289</f>
        <v>288</v>
      </c>
      <c r="B289" s="5" t="str">
        <f>TEXT(Dataset_con_Errores!B289,"dd/mm/yyyy")</f>
        <v>15/01/2026</v>
      </c>
      <c r="C289" t="str">
        <f>IF(Dataset_con_Errores!C289="","Sin Cliente",PROPER(TRIM(Dataset_con_Errores!C289)))</f>
        <v>Juan Perez</v>
      </c>
      <c r="D289" t="str">
        <f>PROPER(TRIM(Dataset_con_Errores!D289))</f>
        <v>Medellin</v>
      </c>
      <c r="E289" t="str">
        <f>IF(Dataset_con_Errores!E289="","Sin especificar",Dataset_con_Errores!E289)</f>
        <v>Sin especificar</v>
      </c>
      <c r="F289">
        <f>IF(Dataset_con_Errores!F289&lt;=0,1,Dataset_con_Errores!F289)</f>
        <v>1</v>
      </c>
      <c r="G289">
        <f>Dataset_con_Errores!G289</f>
        <v>80</v>
      </c>
      <c r="H289">
        <f t="shared" si="4"/>
        <v>80</v>
      </c>
      <c r="I289" t="str">
        <f>IF(H289=Dataset_con_Errores!H289,"OK","ERROR")</f>
        <v>ERROR</v>
      </c>
    </row>
    <row r="290" spans="1:9" x14ac:dyDescent="0.25">
      <c r="A290">
        <f>Dataset_con_Errores!A290</f>
        <v>289</v>
      </c>
      <c r="B290" s="5" t="str">
        <f>TEXT(Dataset_con_Errores!B290,"dd/mm/yyyy")</f>
        <v>01/01/2026</v>
      </c>
      <c r="C290" t="str">
        <f>IF(Dataset_con_Errores!C290="","Sin Cliente",PROPER(TRIM(Dataset_con_Errores!C290)))</f>
        <v>Juan Perez</v>
      </c>
      <c r="D290" t="str">
        <f>PROPER(TRIM(Dataset_con_Errores!D290))</f>
        <v>Medellin</v>
      </c>
      <c r="E290" t="str">
        <f>IF(Dataset_con_Errores!E290="","Sin especificar",Dataset_con_Errores!E290)</f>
        <v>Sin especificar</v>
      </c>
      <c r="F290">
        <f>IF(Dataset_con_Errores!F290&lt;=0,1,Dataset_con_Errores!F290)</f>
        <v>2</v>
      </c>
      <c r="G290">
        <f>Dataset_con_Errores!G290</f>
        <v>50</v>
      </c>
      <c r="H290">
        <f t="shared" si="4"/>
        <v>100</v>
      </c>
      <c r="I290" t="str">
        <f>IF(H290=Dataset_con_Errores!H290,"OK","ERROR")</f>
        <v>OK</v>
      </c>
    </row>
    <row r="291" spans="1:9" hidden="1" x14ac:dyDescent="0.25">
      <c r="A291">
        <f>Dataset_con_Errores!A291</f>
        <v>290</v>
      </c>
      <c r="B291" s="5" t="str">
        <f>TEXT(Dataset_con_Errores!B291,"dd/mm/yyyy")</f>
        <v>25/02/2026</v>
      </c>
      <c r="C291" t="str">
        <f>IF(Dataset_con_Errores!C291="","Sin Cliente",PROPER(TRIM(Dataset_con_Errores!C291)))</f>
        <v>Sin Cliente</v>
      </c>
      <c r="D291" t="str">
        <f>PROPER(TRIM(Dataset_con_Errores!D291))</f>
        <v>Medellín</v>
      </c>
      <c r="E291" t="str">
        <f>IF(Dataset_con_Errores!E291="","Sin especificar",Dataset_con_Errores!E291)</f>
        <v>Teclado</v>
      </c>
      <c r="F291">
        <f>IF(Dataset_con_Errores!F291&lt;=0,1,Dataset_con_Errores!F291)</f>
        <v>1</v>
      </c>
      <c r="G291">
        <f>Dataset_con_Errores!G291</f>
        <v>1500</v>
      </c>
      <c r="H291">
        <f t="shared" si="4"/>
        <v>1500</v>
      </c>
      <c r="I291" t="str">
        <f>IF(H291=Dataset_con_Errores!H291,"OK","ERROR")</f>
        <v>ERROR</v>
      </c>
    </row>
    <row r="292" spans="1:9" hidden="1" x14ac:dyDescent="0.25">
      <c r="A292">
        <f>Dataset_con_Errores!A292</f>
        <v>291</v>
      </c>
      <c r="B292" s="5" t="str">
        <f>TEXT(Dataset_con_Errores!B292,"dd/mm/yyyy")</f>
        <v>15-Jan-26</v>
      </c>
      <c r="C292" t="str">
        <f>IF(Dataset_con_Errores!C292="","Sin Cliente",PROPER(TRIM(Dataset_con_Errores!C292)))</f>
        <v>Ana Torres</v>
      </c>
      <c r="D292" t="str">
        <f>PROPER(TRIM(Dataset_con_Errores!D292))</f>
        <v>Bogotá</v>
      </c>
      <c r="E292" t="str">
        <f>IF(Dataset_con_Errores!E292="","Sin especificar",Dataset_con_Errores!E292)</f>
        <v>Sin especificar</v>
      </c>
      <c r="F292">
        <f>IF(Dataset_con_Errores!F292&lt;=0,1,Dataset_con_Errores!F292)</f>
        <v>1</v>
      </c>
      <c r="G292">
        <f>Dataset_con_Errores!G292</f>
        <v>700</v>
      </c>
      <c r="H292">
        <f t="shared" si="4"/>
        <v>700</v>
      </c>
      <c r="I292" t="str">
        <f>IF(H292=Dataset_con_Errores!H292,"OK","ERROR")</f>
        <v>ERROR</v>
      </c>
    </row>
    <row r="293" spans="1:9" hidden="1" x14ac:dyDescent="0.25">
      <c r="A293">
        <f>Dataset_con_Errores!A293</f>
        <v>292</v>
      </c>
      <c r="B293" s="5" t="str">
        <f>TEXT(Dataset_con_Errores!B293,"dd/mm/yyyy")</f>
        <v>03/02/2026</v>
      </c>
      <c r="C293" t="str">
        <f>IF(Dataset_con_Errores!C293="","Sin Cliente",PROPER(TRIM(Dataset_con_Errores!C293)))</f>
        <v>Ana Torres</v>
      </c>
      <c r="D293" t="str">
        <f>PROPER(TRIM(Dataset_con_Errores!D293))</f>
        <v>Medellin</v>
      </c>
      <c r="E293" t="str">
        <f>IF(Dataset_con_Errores!E293="","Sin especificar",Dataset_con_Errores!E293)</f>
        <v>Laptop</v>
      </c>
      <c r="F293">
        <f>IF(Dataset_con_Errores!F293&lt;=0,1,Dataset_con_Errores!F293)</f>
        <v>1</v>
      </c>
      <c r="G293">
        <f>Dataset_con_Errores!G293</f>
        <v>50</v>
      </c>
      <c r="H293">
        <f t="shared" si="4"/>
        <v>50</v>
      </c>
      <c r="I293" t="str">
        <f>IF(H293=Dataset_con_Errores!H293,"OK","ERROR")</f>
        <v>ERROR</v>
      </c>
    </row>
    <row r="294" spans="1:9" x14ac:dyDescent="0.25">
      <c r="A294">
        <f>Dataset_con_Errores!A294</f>
        <v>293</v>
      </c>
      <c r="B294" s="5" t="str">
        <f>TEXT(Dataset_con_Errores!B294,"dd/mm/yyyy")</f>
        <v>22/01/2026</v>
      </c>
      <c r="C294" t="str">
        <f>IF(Dataset_con_Errores!C294="","Sin Cliente",PROPER(TRIM(Dataset_con_Errores!C294)))</f>
        <v>Ana Torres</v>
      </c>
      <c r="D294" t="str">
        <f>PROPER(TRIM(Dataset_con_Errores!D294))</f>
        <v>Bogotá</v>
      </c>
      <c r="E294" t="str">
        <f>IF(Dataset_con_Errores!E294="","Sin especificar",Dataset_con_Errores!E294)</f>
        <v>Monitor</v>
      </c>
      <c r="F294">
        <f>IF(Dataset_con_Errores!F294&lt;=0,1,Dataset_con_Errores!F294)</f>
        <v>5</v>
      </c>
      <c r="G294">
        <f>Dataset_con_Errores!G294</f>
        <v>50</v>
      </c>
      <c r="H294">
        <f t="shared" si="4"/>
        <v>250</v>
      </c>
      <c r="I294" t="str">
        <f>IF(H294=Dataset_con_Errores!H294,"OK","ERROR")</f>
        <v>OK</v>
      </c>
    </row>
    <row r="295" spans="1:9" x14ac:dyDescent="0.25">
      <c r="A295">
        <f>Dataset_con_Errores!A295</f>
        <v>294</v>
      </c>
      <c r="B295" s="5" t="str">
        <f>TEXT(Dataset_con_Errores!B295,"dd/mm/yyyy")</f>
        <v>17/03/2026</v>
      </c>
      <c r="C295" t="str">
        <f>IF(Dataset_con_Errores!C295="","Sin Cliente",PROPER(TRIM(Dataset_con_Errores!C295)))</f>
        <v>Carlos Ruiz</v>
      </c>
      <c r="D295" t="str">
        <f>PROPER(TRIM(Dataset_con_Errores!D295))</f>
        <v>Medellín</v>
      </c>
      <c r="E295" t="str">
        <f>IF(Dataset_con_Errores!E295="","Sin especificar",Dataset_con_Errores!E295)</f>
        <v>Laptop</v>
      </c>
      <c r="F295">
        <f>IF(Dataset_con_Errores!F295&lt;=0,1,Dataset_con_Errores!F295)</f>
        <v>4</v>
      </c>
      <c r="G295">
        <f>Dataset_con_Errores!G295</f>
        <v>50</v>
      </c>
      <c r="H295">
        <f t="shared" si="4"/>
        <v>200</v>
      </c>
      <c r="I295" t="str">
        <f>IF(H295=Dataset_con_Errores!H295,"OK","ERROR")</f>
        <v>OK</v>
      </c>
    </row>
    <row r="296" spans="1:9" hidden="1" x14ac:dyDescent="0.25">
      <c r="A296">
        <f>Dataset_con_Errores!A296</f>
        <v>295</v>
      </c>
      <c r="B296" s="5" t="str">
        <f>TEXT(Dataset_con_Errores!B296,"dd/mm/yyyy")</f>
        <v>20/03/2026</v>
      </c>
      <c r="C296" t="str">
        <f>IF(Dataset_con_Errores!C296="","Sin Cliente",PROPER(TRIM(Dataset_con_Errores!C296)))</f>
        <v>Maria Lopez</v>
      </c>
      <c r="D296" t="str">
        <f>PROPER(TRIM(Dataset_con_Errores!D296))</f>
        <v>Medellin</v>
      </c>
      <c r="E296" t="str">
        <f>IF(Dataset_con_Errores!E296="","Sin especificar",Dataset_con_Errores!E296)</f>
        <v>Sin especificar</v>
      </c>
      <c r="F296">
        <f>IF(Dataset_con_Errores!F296&lt;=0,1,Dataset_con_Errores!F296)</f>
        <v>1</v>
      </c>
      <c r="G296">
        <f>Dataset_con_Errores!G296</f>
        <v>700</v>
      </c>
      <c r="H296">
        <f t="shared" si="4"/>
        <v>700</v>
      </c>
      <c r="I296" t="str">
        <f>IF(H296=Dataset_con_Errores!H296,"OK","ERROR")</f>
        <v>ERROR</v>
      </c>
    </row>
    <row r="297" spans="1:9" x14ac:dyDescent="0.25">
      <c r="A297">
        <f>Dataset_con_Errores!A297</f>
        <v>296</v>
      </c>
      <c r="B297" s="5" t="str">
        <f>TEXT(Dataset_con_Errores!B297,"dd/mm/yyyy")</f>
        <v>13-Jan-26</v>
      </c>
      <c r="C297" t="str">
        <f>IF(Dataset_con_Errores!C297="","Sin Cliente",PROPER(TRIM(Dataset_con_Errores!C297)))</f>
        <v>Ana Torres</v>
      </c>
      <c r="D297" t="str">
        <f>PROPER(TRIM(Dataset_con_Errores!D297))</f>
        <v>Bogota</v>
      </c>
      <c r="E297" t="str">
        <f>IF(Dataset_con_Errores!E297="","Sin especificar",Dataset_con_Errores!E297)</f>
        <v>Monitor</v>
      </c>
      <c r="F297">
        <f>IF(Dataset_con_Errores!F297&lt;=0,1,Dataset_con_Errores!F297)</f>
        <v>5</v>
      </c>
      <c r="G297">
        <f>Dataset_con_Errores!G297</f>
        <v>700</v>
      </c>
      <c r="H297">
        <f t="shared" si="4"/>
        <v>3500</v>
      </c>
      <c r="I297" t="str">
        <f>IF(H297=Dataset_con_Errores!H297,"OK","ERROR")</f>
        <v>OK</v>
      </c>
    </row>
    <row r="298" spans="1:9" hidden="1" x14ac:dyDescent="0.25">
      <c r="A298">
        <f>Dataset_con_Errores!A298</f>
        <v>297</v>
      </c>
      <c r="B298" s="5" t="str">
        <f>TEXT(Dataset_con_Errores!B298,"dd/mm/yyyy")</f>
        <v>05-Jan-26</v>
      </c>
      <c r="C298" t="str">
        <f>IF(Dataset_con_Errores!C298="","Sin Cliente",PROPER(TRIM(Dataset_con_Errores!C298)))</f>
        <v>Carlos Ruiz</v>
      </c>
      <c r="D298" t="str">
        <f>PROPER(TRIM(Dataset_con_Errores!D298))</f>
        <v>Bogotá</v>
      </c>
      <c r="E298" t="str">
        <f>IF(Dataset_con_Errores!E298="","Sin especificar",Dataset_con_Errores!E298)</f>
        <v>Teclado</v>
      </c>
      <c r="F298">
        <f>IF(Dataset_con_Errores!F298&lt;=0,1,Dataset_con_Errores!F298)</f>
        <v>1</v>
      </c>
      <c r="G298">
        <f>Dataset_con_Errores!G298</f>
        <v>80</v>
      </c>
      <c r="H298">
        <f t="shared" si="4"/>
        <v>80</v>
      </c>
      <c r="I298" t="str">
        <f>IF(H298=Dataset_con_Errores!H298,"OK","ERROR")</f>
        <v>ERROR</v>
      </c>
    </row>
    <row r="299" spans="1:9" x14ac:dyDescent="0.25">
      <c r="A299">
        <f>Dataset_con_Errores!A299</f>
        <v>298</v>
      </c>
      <c r="B299" s="5" t="str">
        <f>TEXT(Dataset_con_Errores!B299,"dd/mm/yyyy")</f>
        <v>15/01/2026</v>
      </c>
      <c r="C299" t="str">
        <f>IF(Dataset_con_Errores!C299="","Sin Cliente",PROPER(TRIM(Dataset_con_Errores!C299)))</f>
        <v>Juan Perez</v>
      </c>
      <c r="D299" t="str">
        <f>PROPER(TRIM(Dataset_con_Errores!D299))</f>
        <v>Medellín</v>
      </c>
      <c r="E299" t="str">
        <f>IF(Dataset_con_Errores!E299="","Sin especificar",Dataset_con_Errores!E299)</f>
        <v>Laptop</v>
      </c>
      <c r="F299">
        <f>IF(Dataset_con_Errores!F299&lt;=0,1,Dataset_con_Errores!F299)</f>
        <v>5</v>
      </c>
      <c r="G299">
        <f>Dataset_con_Errores!G299</f>
        <v>1500</v>
      </c>
      <c r="H299">
        <f t="shared" si="4"/>
        <v>7500</v>
      </c>
      <c r="I299" t="str">
        <f>IF(H299=Dataset_con_Errores!H299,"OK","ERROR")</f>
        <v>OK</v>
      </c>
    </row>
    <row r="300" spans="1:9" hidden="1" x14ac:dyDescent="0.25">
      <c r="A300">
        <f>Dataset_con_Errores!A300</f>
        <v>299</v>
      </c>
      <c r="B300" s="5" t="str">
        <f>TEXT(Dataset_con_Errores!B300,"dd/mm/yyyy")</f>
        <v>26/01/2026</v>
      </c>
      <c r="C300" t="str">
        <f>IF(Dataset_con_Errores!C300="","Sin Cliente",PROPER(TRIM(Dataset_con_Errores!C300)))</f>
        <v>Sin Cliente</v>
      </c>
      <c r="D300" t="str">
        <f>PROPER(TRIM(Dataset_con_Errores!D300))</f>
        <v>Medellin</v>
      </c>
      <c r="E300" t="str">
        <f>IF(Dataset_con_Errores!E300="","Sin especificar",Dataset_con_Errores!E300)</f>
        <v>Mouse</v>
      </c>
      <c r="F300">
        <f>IF(Dataset_con_Errores!F300&lt;=0,1,Dataset_con_Errores!F300)</f>
        <v>1</v>
      </c>
      <c r="G300">
        <f>Dataset_con_Errores!G300</f>
        <v>50</v>
      </c>
      <c r="H300">
        <f t="shared" si="4"/>
        <v>50</v>
      </c>
      <c r="I300" t="str">
        <f>IF(H300=Dataset_con_Errores!H300,"OK","ERROR")</f>
        <v>ERROR</v>
      </c>
    </row>
    <row r="301" spans="1:9" x14ac:dyDescent="0.25">
      <c r="A301">
        <f>Dataset_con_Errores!A301</f>
        <v>300</v>
      </c>
      <c r="B301" s="5" t="str">
        <f>TEXT(Dataset_con_Errores!B301,"dd/mm/yyyy")</f>
        <v>21-Jan-26</v>
      </c>
      <c r="C301" t="str">
        <f>IF(Dataset_con_Errores!C301="","Sin Cliente",PROPER(TRIM(Dataset_con_Errores!C301)))</f>
        <v>Juan Perez</v>
      </c>
      <c r="D301" t="str">
        <f>PROPER(TRIM(Dataset_con_Errores!D301))</f>
        <v>Bogota</v>
      </c>
      <c r="E301" t="str">
        <f>IF(Dataset_con_Errores!E301="","Sin especificar",Dataset_con_Errores!E301)</f>
        <v>Laptop</v>
      </c>
      <c r="F301">
        <f>IF(Dataset_con_Errores!F301&lt;=0,1,Dataset_con_Errores!F301)</f>
        <v>3</v>
      </c>
      <c r="G301">
        <f>Dataset_con_Errores!G301</f>
        <v>80</v>
      </c>
      <c r="H301">
        <f t="shared" si="4"/>
        <v>240</v>
      </c>
      <c r="I301" t="str">
        <f>IF(H301=Dataset_con_Errores!H301,"OK","ERROR")</f>
        <v>OK</v>
      </c>
    </row>
  </sheetData>
  <autoFilter ref="A1:I301" xr:uid="{00000000-0001-0000-0200-000000000000}">
    <filterColumn colId="8">
      <filters>
        <filter val="OK"/>
      </filters>
    </filterColumn>
  </autoFilter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6.42578125" bestFit="1" customWidth="1"/>
  </cols>
  <sheetData>
    <row r="1" spans="1:2" x14ac:dyDescent="0.25">
      <c r="A1" s="1" t="s">
        <v>207</v>
      </c>
      <c r="B1" s="1" t="s">
        <v>208</v>
      </c>
    </row>
    <row r="2" spans="1:2" x14ac:dyDescent="0.25">
      <c r="A2" t="s">
        <v>209</v>
      </c>
      <c r="B2">
        <f>COUNTA(Dataset_con_Errores!A2:A301)</f>
        <v>300</v>
      </c>
    </row>
    <row r="3" spans="1:2" x14ac:dyDescent="0.25">
      <c r="A3" t="s">
        <v>210</v>
      </c>
      <c r="B3">
        <f>COUNTIF(Dataset_con_Errores!F2:F301,"&lt;=0")</f>
        <v>200</v>
      </c>
    </row>
    <row r="4" spans="1:2" x14ac:dyDescent="0.25">
      <c r="A4" t="s">
        <v>211</v>
      </c>
      <c r="B4">
        <f>COUNTIF(Solucion_Limpia_300!I2:I301,"ERROR")</f>
        <v>224</v>
      </c>
    </row>
    <row r="5" spans="1:2" x14ac:dyDescent="0.25">
      <c r="A5" t="s">
        <v>212</v>
      </c>
      <c r="B5">
        <f>COUNTIF(Dataset_con_Errores!C2:C301,"")</f>
        <v>56</v>
      </c>
    </row>
    <row r="6" spans="1:2" x14ac:dyDescent="0.25">
      <c r="A6" t="s">
        <v>213</v>
      </c>
      <c r="B6">
        <f>B4/B2</f>
        <v>0.7466666666666667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38" bestFit="1" customWidth="1"/>
  </cols>
  <sheetData>
    <row r="1" spans="1:2" ht="18.75" x14ac:dyDescent="0.3">
      <c r="A1" s="2" t="s">
        <v>214</v>
      </c>
    </row>
    <row r="3" spans="1:2" x14ac:dyDescent="0.25">
      <c r="A3" t="s">
        <v>210</v>
      </c>
      <c r="B3">
        <f>KPIs_Calidad!B3</f>
        <v>200</v>
      </c>
    </row>
    <row r="4" spans="1:2" x14ac:dyDescent="0.25">
      <c r="A4" t="s">
        <v>211</v>
      </c>
      <c r="B4">
        <f>KPIs_Calidad!B4</f>
        <v>224</v>
      </c>
    </row>
    <row r="5" spans="1:2" x14ac:dyDescent="0.25">
      <c r="A5" t="s">
        <v>212</v>
      </c>
      <c r="B5">
        <f>KPIs_Calidad!B5</f>
        <v>56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baseColWidth="10" defaultColWidth="9.140625" defaultRowHeight="15" x14ac:dyDescent="0.25"/>
  <cols>
    <col min="1" max="1" width="25.28515625" bestFit="1" customWidth="1"/>
  </cols>
  <sheetData>
    <row r="1" spans="1:2" x14ac:dyDescent="0.25">
      <c r="A1" s="1" t="s">
        <v>215</v>
      </c>
      <c r="B1" s="1" t="s">
        <v>216</v>
      </c>
    </row>
    <row r="2" spans="1:2" x14ac:dyDescent="0.25">
      <c r="A2" t="s">
        <v>217</v>
      </c>
      <c r="B2">
        <v>20</v>
      </c>
    </row>
    <row r="3" spans="1:2" x14ac:dyDescent="0.25">
      <c r="A3" t="s">
        <v>218</v>
      </c>
      <c r="B3">
        <v>20</v>
      </c>
    </row>
    <row r="4" spans="1:2" x14ac:dyDescent="0.25">
      <c r="A4" t="s">
        <v>219</v>
      </c>
      <c r="B4">
        <v>20</v>
      </c>
    </row>
    <row r="5" spans="1:2" x14ac:dyDescent="0.25">
      <c r="A5" t="s">
        <v>220</v>
      </c>
      <c r="B5">
        <v>20</v>
      </c>
    </row>
    <row r="6" spans="1:2" x14ac:dyDescent="0.25">
      <c r="A6" t="s">
        <v>221</v>
      </c>
      <c r="B6">
        <v>20</v>
      </c>
    </row>
    <row r="7" spans="1:2" x14ac:dyDescent="0.25">
      <c r="A7" t="s">
        <v>222</v>
      </c>
      <c r="B7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CDBF986E76E64BBB804A150E5D430F" ma:contentTypeVersion="1" ma:contentTypeDescription="Crear nuevo documento." ma:contentTypeScope="" ma:versionID="80aca475f9d19c0b8ee6867ed77bc4e8">
  <xsd:schema xmlns:xsd="http://www.w3.org/2001/XMLSchema" xmlns:xs="http://www.w3.org/2001/XMLSchema" xmlns:p="http://schemas.microsoft.com/office/2006/metadata/properties" xmlns:ns2="04f746e3-a463-44d5-9da3-e3cdbdfe08be" targetNamespace="http://schemas.microsoft.com/office/2006/metadata/properties" ma:root="true" ma:fieldsID="28a472e9bbcecf17aaa9ae7abcb397b7" ns2:_="">
    <xsd:import namespace="04f746e3-a463-44d5-9da3-e3cdbdfe08b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746e3-a463-44d5-9da3-e3cdbdfe08b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4f746e3-a463-44d5-9da3-e3cdbdfe08be" xsi:nil="true"/>
  </documentManagement>
</p:properties>
</file>

<file path=customXml/itemProps1.xml><?xml version="1.0" encoding="utf-8"?>
<ds:datastoreItem xmlns:ds="http://schemas.openxmlformats.org/officeDocument/2006/customXml" ds:itemID="{B3345240-C671-46F8-8C1E-1CB8A8E401F0}"/>
</file>

<file path=customXml/itemProps2.xml><?xml version="1.0" encoding="utf-8"?>
<ds:datastoreItem xmlns:ds="http://schemas.openxmlformats.org/officeDocument/2006/customXml" ds:itemID="{27886181-A363-4310-8D54-82B984A412BF}"/>
</file>

<file path=customXml/itemProps3.xml><?xml version="1.0" encoding="utf-8"?>
<ds:datastoreItem xmlns:ds="http://schemas.openxmlformats.org/officeDocument/2006/customXml" ds:itemID="{1B85CB1E-2EA4-400D-B73C-10CF87E35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Dataset_con_Errores</vt:lpstr>
      <vt:lpstr>Validaciones_Formato</vt:lpstr>
      <vt:lpstr>Solucion_Limpia_300</vt:lpstr>
      <vt:lpstr>KPIs_Calidad</vt:lpstr>
      <vt:lpstr>Dashboard</vt:lpstr>
      <vt:lpstr>Rubrica_Taller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 - CARLOS ALFONSO FABREGAS MERIÑO</cp:lastModifiedBy>
  <dcterms:created xsi:type="dcterms:W3CDTF">2026-02-24T16:26:44Z</dcterms:created>
  <dcterms:modified xsi:type="dcterms:W3CDTF">2026-02-28T17:06:33Z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0x01010052CDBF986E76E64BBB804A150E5D430F</vt:lpwstr>
  </property>
</Properties>
</file>